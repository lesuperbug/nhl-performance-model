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e866aff93d1634/Desktop/Projects/Fantasy Projections/2025 - 2026/"/>
    </mc:Choice>
  </mc:AlternateContent>
  <xr:revisionPtr revIDLastSave="1054" documentId="13_ncr:40009_{86789A25-3F6D-41C4-B657-8C436BAD96D4}" xr6:coauthVersionLast="47" xr6:coauthVersionMax="47" xr10:uidLastSave="{6962EF76-A6F0-4474-9B82-9A17599AC68F}"/>
  <bookViews>
    <workbookView xWindow="-120" yWindow="-120" windowWidth="51840" windowHeight="21120" activeTab="5" xr2:uid="{00000000-000D-0000-FFFF-FFFF00000000}"/>
  </bookViews>
  <sheets>
    <sheet name="Overall Results" sheetId="1" r:id="rId1"/>
    <sheet name="C" sheetId="8" r:id="rId2"/>
    <sheet name="LW" sheetId="9" r:id="rId3"/>
    <sheet name="RW" sheetId="10" r:id="rId4"/>
    <sheet name="D" sheetId="11" r:id="rId5"/>
    <sheet name="Replacement Results" sheetId="12" r:id="rId6"/>
    <sheet name="Model Evaluation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9" i="12" l="1"/>
  <c r="C639" i="12"/>
  <c r="C631" i="12"/>
  <c r="C618" i="12"/>
  <c r="C581" i="12"/>
  <c r="C604" i="12"/>
  <c r="C425" i="12"/>
  <c r="C572" i="12"/>
  <c r="C388" i="12"/>
  <c r="C370" i="12"/>
  <c r="C529" i="12"/>
  <c r="C332" i="12"/>
  <c r="C537" i="12"/>
  <c r="C496" i="12"/>
  <c r="C486" i="12"/>
  <c r="C273" i="12"/>
  <c r="C518" i="12"/>
  <c r="C250" i="12"/>
  <c r="C235" i="12"/>
  <c r="C221" i="12"/>
  <c r="C210" i="12"/>
  <c r="C196" i="12"/>
  <c r="C385" i="12"/>
  <c r="C355" i="12"/>
  <c r="C375" i="12"/>
  <c r="C315" i="12"/>
  <c r="C136" i="12"/>
  <c r="C279" i="12"/>
  <c r="C109" i="12"/>
  <c r="C98" i="12"/>
  <c r="C177" i="12"/>
  <c r="C161" i="12"/>
  <c r="C142" i="12"/>
  <c r="C150" i="12"/>
  <c r="C141" i="12"/>
  <c r="C99" i="12"/>
  <c r="C15" i="12"/>
  <c r="C65" i="12"/>
  <c r="C26" i="12"/>
  <c r="C10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0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D493" i="12"/>
  <c r="D494" i="12"/>
  <c r="D495" i="12"/>
  <c r="D496" i="12"/>
  <c r="D497" i="12"/>
  <c r="D498" i="12"/>
  <c r="D499" i="12"/>
  <c r="D500" i="12"/>
  <c r="D501" i="12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D516" i="12"/>
  <c r="D517" i="12"/>
  <c r="D518" i="12"/>
  <c r="D519" i="12"/>
  <c r="D520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D537" i="12"/>
  <c r="D538" i="12"/>
  <c r="D539" i="12"/>
  <c r="D540" i="12"/>
  <c r="D541" i="12"/>
  <c r="D542" i="12"/>
  <c r="D543" i="12"/>
  <c r="D544" i="12"/>
  <c r="D545" i="12"/>
  <c r="D546" i="12"/>
  <c r="D547" i="12"/>
  <c r="D548" i="12"/>
  <c r="D549" i="12"/>
  <c r="D550" i="12"/>
  <c r="D551" i="12"/>
  <c r="D552" i="12"/>
  <c r="D553" i="12"/>
  <c r="D554" i="12"/>
  <c r="D555" i="12"/>
  <c r="D556" i="12"/>
  <c r="D557" i="12"/>
  <c r="D558" i="12"/>
  <c r="D559" i="12"/>
  <c r="D560" i="12"/>
  <c r="D561" i="12"/>
  <c r="D562" i="12"/>
  <c r="D563" i="12"/>
  <c r="D564" i="12"/>
  <c r="D565" i="12"/>
  <c r="D566" i="12"/>
  <c r="D567" i="12"/>
  <c r="D568" i="12"/>
  <c r="D569" i="12"/>
  <c r="D570" i="12"/>
  <c r="D571" i="12"/>
  <c r="D572" i="12"/>
  <c r="D573" i="12"/>
  <c r="D574" i="12"/>
  <c r="D575" i="12"/>
  <c r="D576" i="12"/>
  <c r="D577" i="12"/>
  <c r="D578" i="12"/>
  <c r="D579" i="12"/>
  <c r="D580" i="12"/>
  <c r="D581" i="12"/>
  <c r="D582" i="12"/>
  <c r="D583" i="12"/>
  <c r="D584" i="12"/>
  <c r="D585" i="12"/>
  <c r="D586" i="12"/>
  <c r="D587" i="12"/>
  <c r="D588" i="12"/>
  <c r="D589" i="12"/>
  <c r="D590" i="12"/>
  <c r="D591" i="12"/>
  <c r="D592" i="12"/>
  <c r="D593" i="12"/>
  <c r="D594" i="12"/>
  <c r="D595" i="12"/>
  <c r="D596" i="12"/>
  <c r="D597" i="12"/>
  <c r="D598" i="12"/>
  <c r="D599" i="12"/>
  <c r="D600" i="12"/>
  <c r="D601" i="12"/>
  <c r="D602" i="12"/>
  <c r="D603" i="12"/>
  <c r="D604" i="12"/>
  <c r="D605" i="12"/>
  <c r="D606" i="12"/>
  <c r="D607" i="12"/>
  <c r="D608" i="12"/>
  <c r="D609" i="12"/>
  <c r="D610" i="12"/>
  <c r="D611" i="12"/>
  <c r="D612" i="12"/>
  <c r="D613" i="12"/>
  <c r="D614" i="12"/>
  <c r="D615" i="12"/>
  <c r="D616" i="12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D632" i="12"/>
  <c r="D633" i="12"/>
  <c r="D634" i="12"/>
  <c r="D635" i="12"/>
  <c r="D636" i="12"/>
  <c r="D637" i="12"/>
  <c r="D638" i="12"/>
  <c r="D639" i="12"/>
  <c r="D640" i="12"/>
  <c r="D641" i="12"/>
  <c r="D642" i="12"/>
  <c r="D643" i="12"/>
  <c r="D644" i="12"/>
  <c r="D645" i="12"/>
  <c r="D646" i="12"/>
  <c r="D647" i="12"/>
  <c r="D648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E514" i="12"/>
  <c r="E515" i="12"/>
  <c r="E516" i="12"/>
  <c r="E517" i="12"/>
  <c r="E518" i="12"/>
  <c r="E519" i="12"/>
  <c r="E520" i="12"/>
  <c r="E521" i="12"/>
  <c r="E522" i="12"/>
  <c r="E523" i="12"/>
  <c r="E524" i="12"/>
  <c r="E525" i="12"/>
  <c r="E526" i="12"/>
  <c r="E527" i="12"/>
  <c r="E528" i="12"/>
  <c r="E529" i="12"/>
  <c r="E530" i="12"/>
  <c r="E531" i="12"/>
  <c r="E532" i="12"/>
  <c r="E533" i="12"/>
  <c r="E534" i="12"/>
  <c r="E535" i="12"/>
  <c r="E536" i="12"/>
  <c r="E537" i="12"/>
  <c r="E538" i="12"/>
  <c r="E539" i="12"/>
  <c r="E540" i="12"/>
  <c r="E541" i="12"/>
  <c r="E542" i="12"/>
  <c r="E543" i="12"/>
  <c r="E544" i="12"/>
  <c r="E545" i="12"/>
  <c r="E546" i="12"/>
  <c r="E547" i="12"/>
  <c r="E548" i="12"/>
  <c r="E549" i="12"/>
  <c r="E550" i="12"/>
  <c r="E551" i="12"/>
  <c r="E552" i="12"/>
  <c r="E553" i="12"/>
  <c r="E554" i="12"/>
  <c r="E555" i="12"/>
  <c r="E556" i="12"/>
  <c r="E557" i="12"/>
  <c r="E558" i="12"/>
  <c r="E559" i="12"/>
  <c r="E560" i="12"/>
  <c r="E561" i="12"/>
  <c r="E562" i="12"/>
  <c r="E563" i="12"/>
  <c r="E564" i="12"/>
  <c r="E565" i="12"/>
  <c r="E566" i="12"/>
  <c r="E567" i="12"/>
  <c r="E568" i="12"/>
  <c r="E569" i="12"/>
  <c r="E570" i="12"/>
  <c r="E571" i="12"/>
  <c r="E572" i="12"/>
  <c r="E573" i="12"/>
  <c r="E574" i="12"/>
  <c r="E575" i="12"/>
  <c r="E576" i="12"/>
  <c r="E577" i="12"/>
  <c r="E578" i="12"/>
  <c r="E579" i="12"/>
  <c r="E580" i="12"/>
  <c r="E581" i="12"/>
  <c r="E582" i="12"/>
  <c r="E583" i="12"/>
  <c r="E584" i="12"/>
  <c r="E585" i="12"/>
  <c r="E586" i="12"/>
  <c r="E587" i="12"/>
  <c r="E588" i="12"/>
  <c r="E589" i="12"/>
  <c r="E590" i="12"/>
  <c r="E591" i="12"/>
  <c r="E592" i="12"/>
  <c r="E593" i="12"/>
  <c r="E594" i="12"/>
  <c r="E595" i="12"/>
  <c r="E596" i="12"/>
  <c r="E597" i="12"/>
  <c r="E598" i="12"/>
  <c r="E599" i="12"/>
  <c r="E600" i="12"/>
  <c r="E601" i="12"/>
  <c r="E602" i="12"/>
  <c r="E603" i="12"/>
  <c r="E604" i="12"/>
  <c r="E605" i="12"/>
  <c r="E606" i="12"/>
  <c r="E607" i="12"/>
  <c r="E608" i="12"/>
  <c r="E609" i="12"/>
  <c r="E610" i="12"/>
  <c r="E611" i="12"/>
  <c r="E612" i="12"/>
  <c r="E613" i="12"/>
  <c r="E614" i="12"/>
  <c r="E615" i="12"/>
  <c r="E616" i="12"/>
  <c r="E617" i="12"/>
  <c r="E618" i="12"/>
  <c r="E619" i="12"/>
  <c r="E620" i="12"/>
  <c r="E621" i="12"/>
  <c r="E622" i="12"/>
  <c r="E623" i="12"/>
  <c r="E624" i="12"/>
  <c r="E625" i="12"/>
  <c r="E626" i="12"/>
  <c r="E627" i="12"/>
  <c r="E628" i="12"/>
  <c r="E629" i="12"/>
  <c r="E630" i="12"/>
  <c r="E631" i="12"/>
  <c r="E632" i="12"/>
  <c r="E633" i="12"/>
  <c r="E634" i="12"/>
  <c r="E635" i="12"/>
  <c r="E636" i="12"/>
  <c r="E637" i="12"/>
  <c r="E638" i="12"/>
  <c r="E639" i="12"/>
  <c r="E640" i="12"/>
  <c r="E641" i="12"/>
  <c r="E642" i="12"/>
  <c r="E643" i="12"/>
  <c r="E644" i="12"/>
  <c r="E645" i="12"/>
  <c r="E646" i="12"/>
  <c r="E647" i="12"/>
  <c r="E648" i="12"/>
  <c r="C9" i="12"/>
  <c r="C3" i="12"/>
  <c r="C4" i="12"/>
  <c r="C5" i="12"/>
  <c r="C6" i="12"/>
  <c r="C7" i="12"/>
  <c r="C8" i="12"/>
  <c r="C11" i="12"/>
  <c r="C12" i="12"/>
  <c r="C13" i="12"/>
  <c r="C14" i="12"/>
  <c r="C16" i="12"/>
  <c r="C17" i="12"/>
  <c r="C18" i="12"/>
  <c r="C19" i="12"/>
  <c r="C20" i="12"/>
  <c r="C21" i="12"/>
  <c r="C22" i="12"/>
  <c r="C23" i="12"/>
  <c r="C24" i="12"/>
  <c r="C25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100" i="12"/>
  <c r="C101" i="12"/>
  <c r="C102" i="12"/>
  <c r="C103" i="12"/>
  <c r="C104" i="12"/>
  <c r="C105" i="12"/>
  <c r="C106" i="12"/>
  <c r="C107" i="12"/>
  <c r="C108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7" i="12"/>
  <c r="C138" i="12"/>
  <c r="C139" i="12"/>
  <c r="C140" i="12"/>
  <c r="C143" i="12"/>
  <c r="C144" i="12"/>
  <c r="C145" i="12"/>
  <c r="C146" i="12"/>
  <c r="C147" i="12"/>
  <c r="C148" i="12"/>
  <c r="C149" i="12"/>
  <c r="C151" i="12"/>
  <c r="C152" i="12"/>
  <c r="C153" i="12"/>
  <c r="C154" i="12"/>
  <c r="C155" i="12"/>
  <c r="C156" i="12"/>
  <c r="C157" i="12"/>
  <c r="C158" i="12"/>
  <c r="C159" i="12"/>
  <c r="C160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1" i="12"/>
  <c r="C212" i="12"/>
  <c r="C213" i="12"/>
  <c r="C214" i="12"/>
  <c r="C215" i="12"/>
  <c r="C216" i="12"/>
  <c r="C217" i="12"/>
  <c r="C218" i="12"/>
  <c r="C219" i="12"/>
  <c r="C220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4" i="12"/>
  <c r="C275" i="12"/>
  <c r="C276" i="12"/>
  <c r="C277" i="12"/>
  <c r="C278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1" i="12"/>
  <c r="C372" i="12"/>
  <c r="C373" i="12"/>
  <c r="C374" i="12"/>
  <c r="C376" i="12"/>
  <c r="C377" i="12"/>
  <c r="C378" i="12"/>
  <c r="C379" i="12"/>
  <c r="C380" i="12"/>
  <c r="C381" i="12"/>
  <c r="C382" i="12"/>
  <c r="C383" i="12"/>
  <c r="C384" i="12"/>
  <c r="C386" i="12"/>
  <c r="C387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7" i="12"/>
  <c r="C488" i="12"/>
  <c r="C489" i="12"/>
  <c r="C490" i="12"/>
  <c r="C491" i="12"/>
  <c r="C492" i="12"/>
  <c r="C493" i="12"/>
  <c r="C494" i="12"/>
  <c r="C495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9" i="12"/>
  <c r="C520" i="12"/>
  <c r="C521" i="12"/>
  <c r="C522" i="12"/>
  <c r="C523" i="12"/>
  <c r="C524" i="12"/>
  <c r="C525" i="12"/>
  <c r="C526" i="12"/>
  <c r="C527" i="12"/>
  <c r="C528" i="12"/>
  <c r="C530" i="12"/>
  <c r="C531" i="12"/>
  <c r="C532" i="12"/>
  <c r="C533" i="12"/>
  <c r="C534" i="12"/>
  <c r="C535" i="12"/>
  <c r="C536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3" i="12"/>
  <c r="C574" i="12"/>
  <c r="C575" i="12"/>
  <c r="C576" i="12"/>
  <c r="C577" i="12"/>
  <c r="C578" i="12"/>
  <c r="C579" i="12"/>
  <c r="C580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9" i="12"/>
  <c r="C620" i="12"/>
  <c r="C621" i="12"/>
  <c r="C622" i="12"/>
  <c r="C623" i="12"/>
  <c r="C624" i="12"/>
  <c r="C625" i="12"/>
  <c r="C626" i="12"/>
  <c r="C627" i="12"/>
  <c r="C628" i="12"/>
  <c r="C630" i="12"/>
  <c r="C632" i="12"/>
  <c r="C633" i="12"/>
  <c r="C634" i="12"/>
  <c r="C635" i="12"/>
  <c r="C636" i="12"/>
  <c r="C637" i="12"/>
  <c r="C638" i="12"/>
  <c r="C640" i="12"/>
  <c r="C641" i="12"/>
  <c r="C642" i="12"/>
  <c r="C643" i="12"/>
  <c r="C644" i="12"/>
  <c r="C645" i="12"/>
  <c r="C646" i="12"/>
  <c r="C647" i="12"/>
  <c r="C648" i="12"/>
  <c r="C222" i="11"/>
  <c r="C206" i="11"/>
  <c r="B6" i="11" a="1"/>
  <c r="B6" i="11" s="1"/>
  <c r="C2" i="11"/>
  <c r="C193" i="11"/>
  <c r="C188" i="11"/>
  <c r="C177" i="11"/>
  <c r="C172" i="11"/>
  <c r="C161" i="11"/>
  <c r="C156" i="11"/>
  <c r="C145" i="11"/>
  <c r="C140" i="11"/>
  <c r="C129" i="11"/>
  <c r="C124" i="11"/>
  <c r="C113" i="11"/>
  <c r="C108" i="11"/>
  <c r="C97" i="11"/>
  <c r="C92" i="11"/>
  <c r="C81" i="11"/>
  <c r="C76" i="11"/>
  <c r="C65" i="11"/>
  <c r="C60" i="11"/>
  <c r="C49" i="11"/>
  <c r="C44" i="11"/>
  <c r="C33" i="11"/>
  <c r="C28" i="11"/>
  <c r="C201" i="10"/>
  <c r="C200" i="10"/>
  <c r="C196" i="10"/>
  <c r="C195" i="10"/>
  <c r="C190" i="10"/>
  <c r="C185" i="10"/>
  <c r="C184" i="10"/>
  <c r="C180" i="10"/>
  <c r="C179" i="10"/>
  <c r="C174" i="10"/>
  <c r="C169" i="10"/>
  <c r="C168" i="10"/>
  <c r="C164" i="10"/>
  <c r="C163" i="10"/>
  <c r="C158" i="10"/>
  <c r="C153" i="10"/>
  <c r="C152" i="10"/>
  <c r="C148" i="10"/>
  <c r="C147" i="10"/>
  <c r="C142" i="10"/>
  <c r="C137" i="10"/>
  <c r="C136" i="10"/>
  <c r="C132" i="10"/>
  <c r="C131" i="10"/>
  <c r="C126" i="10"/>
  <c r="C121" i="10"/>
  <c r="C120" i="10"/>
  <c r="C116" i="10"/>
  <c r="C115" i="10"/>
  <c r="C110" i="10"/>
  <c r="C105" i="10"/>
  <c r="C104" i="10"/>
  <c r="C100" i="10"/>
  <c r="C99" i="10"/>
  <c r="C94" i="10"/>
  <c r="C89" i="10"/>
  <c r="C88" i="10"/>
  <c r="C84" i="10"/>
  <c r="C83" i="10"/>
  <c r="C78" i="10"/>
  <c r="C73" i="10"/>
  <c r="C72" i="10"/>
  <c r="C68" i="10"/>
  <c r="C67" i="10"/>
  <c r="C62" i="10"/>
  <c r="C57" i="10"/>
  <c r="C56" i="10"/>
  <c r="C52" i="10"/>
  <c r="C51" i="10"/>
  <c r="C46" i="10"/>
  <c r="C41" i="10"/>
  <c r="C40" i="10"/>
  <c r="C36" i="10"/>
  <c r="C35" i="10"/>
  <c r="C30" i="10"/>
  <c r="C25" i="10"/>
  <c r="C24" i="10"/>
  <c r="C20" i="10"/>
  <c r="C203" i="10"/>
  <c r="B6" i="10" a="1"/>
  <c r="B6" i="10" s="1"/>
  <c r="C2" i="10"/>
  <c r="C174" i="9"/>
  <c r="C104" i="9"/>
  <c r="B6" i="9" a="1"/>
  <c r="B6" i="9" s="1"/>
  <c r="C2" i="9"/>
  <c r="C2" i="8"/>
  <c r="B6" i="8" a="1"/>
  <c r="B6" i="8" s="1"/>
  <c r="C6" i="8" s="1"/>
  <c r="C285" i="7"/>
  <c r="G285" i="7" s="1"/>
  <c r="C533" i="7"/>
  <c r="G533" i="7" s="1"/>
  <c r="C240" i="7"/>
  <c r="G240" i="7" s="1"/>
  <c r="C43" i="7"/>
  <c r="G43" i="7" s="1"/>
  <c r="C224" i="7"/>
  <c r="G224" i="7" s="1"/>
  <c r="C432" i="7"/>
  <c r="G432" i="7" s="1"/>
  <c r="C119" i="7"/>
  <c r="G119" i="7" s="1"/>
  <c r="C526" i="7"/>
  <c r="G526" i="7" s="1"/>
  <c r="C412" i="7"/>
  <c r="G412" i="7" s="1"/>
  <c r="C389" i="7"/>
  <c r="G389" i="7" s="1"/>
  <c r="C291" i="7"/>
  <c r="G291" i="7" s="1"/>
  <c r="C394" i="7"/>
  <c r="G394" i="7" s="1"/>
  <c r="C238" i="7"/>
  <c r="G238" i="7" s="1"/>
  <c r="C357" i="7"/>
  <c r="G357" i="7" s="1"/>
  <c r="C136" i="7"/>
  <c r="G136" i="7" s="1"/>
  <c r="C306" i="7"/>
  <c r="G306" i="7" s="1"/>
  <c r="C508" i="7"/>
  <c r="G508" i="7" s="1"/>
  <c r="C207" i="7"/>
  <c r="G207" i="7" s="1"/>
  <c r="C425" i="7"/>
  <c r="G425" i="7" s="1"/>
  <c r="C378" i="7"/>
  <c r="G378" i="7" s="1"/>
  <c r="C337" i="7"/>
  <c r="G337" i="7" s="1"/>
  <c r="C108" i="7"/>
  <c r="G108" i="7" s="1"/>
  <c r="C333" i="7"/>
  <c r="G333" i="7" s="1"/>
  <c r="C244" i="7"/>
  <c r="G244" i="7" s="1"/>
  <c r="C115" i="7"/>
  <c r="G115" i="7" s="1"/>
  <c r="C251" i="7"/>
  <c r="G251" i="7" s="1"/>
  <c r="C316" i="7"/>
  <c r="G316" i="7" s="1"/>
  <c r="C404" i="7"/>
  <c r="G404" i="7" s="1"/>
  <c r="C355" i="7"/>
  <c r="G355" i="7" s="1"/>
  <c r="C144" i="7"/>
  <c r="G144" i="7" s="1"/>
  <c r="C274" i="7"/>
  <c r="G274" i="7" s="1"/>
  <c r="C431" i="7"/>
  <c r="G431" i="7" s="1"/>
  <c r="C314" i="7"/>
  <c r="G314" i="7" s="1"/>
  <c r="C555" i="7"/>
  <c r="G555" i="7" s="1"/>
  <c r="C466" i="7"/>
  <c r="G466" i="7" s="1"/>
  <c r="C482" i="7"/>
  <c r="G482" i="7" s="1"/>
  <c r="C315" i="7"/>
  <c r="G315" i="7" s="1"/>
  <c r="C239" i="7"/>
  <c r="G239" i="7" s="1"/>
  <c r="C429" i="7"/>
  <c r="G429" i="7" s="1"/>
  <c r="C489" i="7"/>
  <c r="G489" i="7" s="1"/>
  <c r="C447" i="7"/>
  <c r="G447" i="7" s="1"/>
  <c r="C476" i="7"/>
  <c r="G476" i="7" s="1"/>
  <c r="C34" i="7"/>
  <c r="G34" i="7" s="1"/>
  <c r="C392" i="7"/>
  <c r="G392" i="7" s="1"/>
  <c r="C453" i="7"/>
  <c r="G453" i="7" s="1"/>
  <c r="C471" i="7"/>
  <c r="G471" i="7" s="1"/>
  <c r="C519" i="7"/>
  <c r="G519" i="7" s="1"/>
  <c r="C446" i="7"/>
  <c r="G446" i="7" s="1"/>
  <c r="C332" i="7"/>
  <c r="G332" i="7" s="1"/>
  <c r="C535" i="7"/>
  <c r="G535" i="7" s="1"/>
  <c r="C602" i="7"/>
  <c r="G602" i="7" s="1"/>
  <c r="C587" i="7"/>
  <c r="G587" i="7" s="1"/>
  <c r="C158" i="7"/>
  <c r="G158" i="7" s="1"/>
  <c r="C216" i="7"/>
  <c r="G216" i="7" s="1"/>
  <c r="C418" i="7"/>
  <c r="G418" i="7" s="1"/>
  <c r="C64" i="7"/>
  <c r="G64" i="7" s="1"/>
  <c r="C405" i="7"/>
  <c r="G405" i="7" s="1"/>
  <c r="C128" i="7"/>
  <c r="G128" i="7" s="1"/>
  <c r="C134" i="7"/>
  <c r="G134" i="7" s="1"/>
  <c r="C498" i="7"/>
  <c r="G498" i="7" s="1"/>
  <c r="C487" i="7"/>
  <c r="G487" i="7" s="1"/>
  <c r="C527" i="7"/>
  <c r="G527" i="7" s="1"/>
  <c r="C433" i="7"/>
  <c r="G433" i="7" s="1"/>
  <c r="C512" i="7"/>
  <c r="G512" i="7" s="1"/>
  <c r="C469" i="7"/>
  <c r="G469" i="7" s="1"/>
  <c r="C561" i="7"/>
  <c r="G561" i="7" s="1"/>
  <c r="C377" i="7"/>
  <c r="G377" i="7" s="1"/>
  <c r="C297" i="7"/>
  <c r="G297" i="7" s="1"/>
  <c r="C430" i="7"/>
  <c r="G430" i="7" s="1"/>
  <c r="C223" i="7"/>
  <c r="G223" i="7" s="1"/>
  <c r="C419" i="7"/>
  <c r="G419" i="7" s="1"/>
  <c r="C190" i="7"/>
  <c r="G190" i="7" s="1"/>
  <c r="C428" i="7"/>
  <c r="G428" i="7" s="1"/>
  <c r="C515" i="7"/>
  <c r="G515" i="7" s="1"/>
  <c r="C9" i="7"/>
  <c r="G9" i="7" s="1"/>
  <c r="C500" i="7"/>
  <c r="G500" i="7" s="1"/>
  <c r="C250" i="7"/>
  <c r="G250" i="7" s="1"/>
  <c r="C460" i="7"/>
  <c r="G460" i="7" s="1"/>
  <c r="C483" i="7"/>
  <c r="G483" i="7" s="1"/>
  <c r="C147" i="7"/>
  <c r="G147" i="7" s="1"/>
  <c r="C566" i="7"/>
  <c r="G566" i="7" s="1"/>
  <c r="C350" i="7"/>
  <c r="G350" i="7" s="1"/>
  <c r="C363" i="7"/>
  <c r="G363" i="7" s="1"/>
  <c r="C103" i="7"/>
  <c r="G103" i="7" s="1"/>
  <c r="C152" i="7"/>
  <c r="G152" i="7" s="1"/>
  <c r="C55" i="7"/>
  <c r="G55" i="7" s="1"/>
  <c r="C380" i="7"/>
  <c r="G380" i="7" s="1"/>
  <c r="C277" i="7"/>
  <c r="G277" i="7" s="1"/>
  <c r="C199" i="7"/>
  <c r="G199" i="7" s="1"/>
  <c r="C624" i="7"/>
  <c r="G624" i="7" s="1"/>
  <c r="C488" i="7"/>
  <c r="G488" i="7" s="1"/>
  <c r="C325" i="7"/>
  <c r="G325" i="7" s="1"/>
  <c r="C572" i="7"/>
  <c r="G572" i="7" s="1"/>
  <c r="C560" i="7"/>
  <c r="G560" i="7" s="1"/>
  <c r="C150" i="7"/>
  <c r="G150" i="7" s="1"/>
  <c r="C598" i="7"/>
  <c r="G598" i="7" s="1"/>
  <c r="C184" i="7"/>
  <c r="G184" i="7" s="1"/>
  <c r="C427" i="7"/>
  <c r="G427" i="7" s="1"/>
  <c r="C96" i="7"/>
  <c r="G96" i="7" s="1"/>
  <c r="C260" i="7"/>
  <c r="G260" i="7" s="1"/>
  <c r="C209" i="7"/>
  <c r="G209" i="7" s="1"/>
  <c r="C631" i="7"/>
  <c r="G631" i="7" s="1"/>
  <c r="C191" i="7"/>
  <c r="G191" i="7" s="1"/>
  <c r="C130" i="7"/>
  <c r="G130" i="7" s="1"/>
  <c r="C635" i="7"/>
  <c r="G635" i="7" s="1"/>
  <c r="C169" i="7"/>
  <c r="G169" i="7" s="1"/>
  <c r="C302" i="7"/>
  <c r="G302" i="7" s="1"/>
  <c r="C557" i="7"/>
  <c r="G557" i="7" s="1"/>
  <c r="C248" i="7"/>
  <c r="G248" i="7" s="1"/>
  <c r="C461" i="7"/>
  <c r="G461" i="7" s="1"/>
  <c r="C638" i="7"/>
  <c r="G638" i="7" s="1"/>
  <c r="C614" i="7"/>
  <c r="G614" i="7" s="1"/>
  <c r="C544" i="7"/>
  <c r="G544" i="7" s="1"/>
  <c r="C396" i="7"/>
  <c r="G396" i="7" s="1"/>
  <c r="C384" i="7"/>
  <c r="G384" i="7" s="1"/>
  <c r="C642" i="7"/>
  <c r="G642" i="7" s="1"/>
  <c r="C644" i="7"/>
  <c r="G644" i="7" s="1"/>
  <c r="C439" i="7"/>
  <c r="G439" i="7" s="1"/>
  <c r="C403" i="7"/>
  <c r="G403" i="7" s="1"/>
  <c r="C517" i="7"/>
  <c r="G517" i="7" s="1"/>
  <c r="C464" i="7"/>
  <c r="G464" i="7" s="1"/>
  <c r="C507" i="7"/>
  <c r="G507" i="7" s="1"/>
  <c r="C423" i="7"/>
  <c r="G423" i="7" s="1"/>
  <c r="C113" i="7"/>
  <c r="G113" i="7" s="1"/>
  <c r="C110" i="7"/>
  <c r="G110" i="7" s="1"/>
  <c r="C545" i="7"/>
  <c r="G545" i="7" s="1"/>
  <c r="C496" i="7"/>
  <c r="G496" i="7" s="1"/>
  <c r="C610" i="7"/>
  <c r="G610" i="7" s="1"/>
  <c r="C627" i="7"/>
  <c r="G627" i="7" s="1"/>
  <c r="C536" i="7"/>
  <c r="G536" i="7" s="1"/>
  <c r="C616" i="7"/>
  <c r="G616" i="7" s="1"/>
  <c r="C623" i="7"/>
  <c r="G623" i="7" s="1"/>
  <c r="C559" i="7"/>
  <c r="G559" i="7" s="1"/>
  <c r="C583" i="7"/>
  <c r="G583" i="7" s="1"/>
  <c r="C151" i="7"/>
  <c r="G151" i="7" s="1"/>
  <c r="C494" i="7"/>
  <c r="G494" i="7" s="1"/>
  <c r="C398" i="7"/>
  <c r="G398" i="7" s="1"/>
  <c r="C525" i="7"/>
  <c r="G525" i="7" s="1"/>
  <c r="C249" i="7"/>
  <c r="G249" i="7" s="1"/>
  <c r="C234" i="7"/>
  <c r="G234" i="7" s="1"/>
  <c r="C556" i="7"/>
  <c r="G556" i="7" s="1"/>
  <c r="C564" i="7"/>
  <c r="G564" i="7" s="1"/>
  <c r="C491" i="7"/>
  <c r="G491" i="7" s="1"/>
  <c r="C321" i="7"/>
  <c r="G321" i="7" s="1"/>
  <c r="C607" i="7"/>
  <c r="G607" i="7" s="1"/>
  <c r="C252" i="7"/>
  <c r="G252" i="7" s="1"/>
  <c r="C214" i="7"/>
  <c r="G214" i="7" s="1"/>
  <c r="C212" i="7"/>
  <c r="G212" i="7" s="1"/>
  <c r="C468" i="7"/>
  <c r="G468" i="7" s="1"/>
  <c r="C386" i="7"/>
  <c r="G386" i="7" s="1"/>
  <c r="C181" i="7"/>
  <c r="G181" i="7" s="1"/>
  <c r="C329" i="7"/>
  <c r="G329" i="7" s="1"/>
  <c r="C402" i="7"/>
  <c r="G402" i="7" s="1"/>
  <c r="C294" i="7"/>
  <c r="G294" i="7" s="1"/>
  <c r="C304" i="7"/>
  <c r="G304" i="7" s="1"/>
  <c r="C253" i="7"/>
  <c r="G253" i="7" s="1"/>
  <c r="C198" i="7"/>
  <c r="G198" i="7" s="1"/>
  <c r="C146" i="7"/>
  <c r="G146" i="7" s="1"/>
  <c r="C492" i="7"/>
  <c r="G492" i="7" s="1"/>
  <c r="C424" i="7"/>
  <c r="G424" i="7" s="1"/>
  <c r="C145" i="7"/>
  <c r="G145" i="7" s="1"/>
  <c r="C87" i="7"/>
  <c r="G87" i="7" s="1"/>
  <c r="C339" i="7"/>
  <c r="G339" i="7" s="1"/>
  <c r="C160" i="7"/>
  <c r="G160" i="7" s="1"/>
  <c r="C233" i="7"/>
  <c r="G233" i="7" s="1"/>
  <c r="C275" i="7"/>
  <c r="G275" i="7" s="1"/>
  <c r="C354" i="7"/>
  <c r="G354" i="7" s="1"/>
  <c r="C143" i="7"/>
  <c r="G143" i="7" s="1"/>
  <c r="C26" i="7"/>
  <c r="G26" i="7" s="1"/>
  <c r="C516" i="7"/>
  <c r="G516" i="7" s="1"/>
  <c r="C581" i="7"/>
  <c r="G581" i="7" s="1"/>
  <c r="C15" i="7"/>
  <c r="G15" i="7" s="1"/>
  <c r="C347" i="7"/>
  <c r="G347" i="7" s="1"/>
  <c r="C138" i="7"/>
  <c r="G138" i="7" s="1"/>
  <c r="C414" i="7"/>
  <c r="G414" i="7" s="1"/>
  <c r="C328" i="7"/>
  <c r="G328" i="7" s="1"/>
  <c r="C426" i="7"/>
  <c r="G426" i="7" s="1"/>
  <c r="C271" i="7"/>
  <c r="G271" i="7" s="1"/>
  <c r="C323" i="7"/>
  <c r="G323" i="7" s="1"/>
  <c r="C391" i="7"/>
  <c r="G391" i="7" s="1"/>
  <c r="C367" i="7"/>
  <c r="G367" i="7" s="1"/>
  <c r="C375" i="7"/>
  <c r="G375" i="7" s="1"/>
  <c r="C643" i="7"/>
  <c r="G643" i="7" s="1"/>
  <c r="C308" i="7"/>
  <c r="G308" i="7" s="1"/>
  <c r="C552" i="7"/>
  <c r="G552" i="7" s="1"/>
  <c r="C540" i="7"/>
  <c r="G540" i="7" s="1"/>
  <c r="C272" i="7"/>
  <c r="G272" i="7" s="1"/>
  <c r="C283" i="7"/>
  <c r="G283" i="7" s="1"/>
  <c r="C490" i="7"/>
  <c r="G490" i="7" s="1"/>
  <c r="C148" i="7"/>
  <c r="G148" i="7" s="1"/>
  <c r="C452" i="7"/>
  <c r="G452" i="7" s="1"/>
  <c r="C178" i="7"/>
  <c r="G178" i="7" s="1"/>
  <c r="C565" i="7"/>
  <c r="G565" i="7" s="1"/>
  <c r="C261" i="7"/>
  <c r="G261" i="7" s="1"/>
  <c r="C345" i="7"/>
  <c r="G345" i="7" s="1"/>
  <c r="C374" i="7"/>
  <c r="G374" i="7" s="1"/>
  <c r="C538" i="7"/>
  <c r="G538" i="7" s="1"/>
  <c r="C390" i="7"/>
  <c r="G390" i="7" s="1"/>
  <c r="C523" i="7"/>
  <c r="G523" i="7" s="1"/>
  <c r="C609" i="7"/>
  <c r="G609" i="7" s="1"/>
  <c r="C346" i="7"/>
  <c r="G346" i="7" s="1"/>
  <c r="C513" i="7"/>
  <c r="G513" i="7" s="1"/>
  <c r="C305" i="7"/>
  <c r="G305" i="7" s="1"/>
  <c r="C206" i="7"/>
  <c r="G206" i="7" s="1"/>
  <c r="C586" i="7"/>
  <c r="G586" i="7" s="1"/>
  <c r="C449" i="7"/>
  <c r="G449" i="7" s="1"/>
  <c r="D630" i="7"/>
  <c r="H630" i="7" s="1"/>
  <c r="D610" i="7"/>
  <c r="H610" i="7" s="1"/>
  <c r="D496" i="7"/>
  <c r="H496" i="7" s="1"/>
  <c r="D545" i="7"/>
  <c r="H545" i="7" s="1"/>
  <c r="D646" i="7"/>
  <c r="H646" i="7" s="1"/>
  <c r="D645" i="7"/>
  <c r="H645" i="7" s="1"/>
  <c r="D225" i="7"/>
  <c r="H225" i="7" s="1"/>
  <c r="D459" i="7"/>
  <c r="H459" i="7" s="1"/>
  <c r="D365" i="7"/>
  <c r="H365" i="7" s="1"/>
  <c r="D622" i="7"/>
  <c r="H622" i="7" s="1"/>
  <c r="D499" i="7"/>
  <c r="H499" i="7" s="1"/>
  <c r="D593" i="7"/>
  <c r="H593" i="7" s="1"/>
  <c r="D110" i="7"/>
  <c r="H110" i="7" s="1"/>
  <c r="D113" i="7"/>
  <c r="H113" i="7" s="1"/>
  <c r="D423" i="7"/>
  <c r="H423" i="7" s="1"/>
  <c r="D507" i="7"/>
  <c r="H507" i="7" s="1"/>
  <c r="D222" i="7"/>
  <c r="H222" i="7" s="1"/>
  <c r="D605" i="7"/>
  <c r="H605" i="7" s="1"/>
  <c r="D165" i="7"/>
  <c r="H165" i="7" s="1"/>
  <c r="D458" i="7"/>
  <c r="H458" i="7" s="1"/>
  <c r="D237" i="7"/>
  <c r="H237" i="7" s="1"/>
  <c r="D493" i="7"/>
  <c r="H493" i="7" s="1"/>
  <c r="D464" i="7"/>
  <c r="H464" i="7" s="1"/>
  <c r="D451" i="7"/>
  <c r="H451" i="7" s="1"/>
  <c r="D517" i="7"/>
  <c r="H517" i="7" s="1"/>
  <c r="D439" i="7"/>
  <c r="H439" i="7" s="1"/>
  <c r="D403" i="7"/>
  <c r="H403" i="7" s="1"/>
  <c r="D644" i="7"/>
  <c r="H644" i="7" s="1"/>
  <c r="D558" i="7"/>
  <c r="H558" i="7" s="1"/>
  <c r="D568" i="7"/>
  <c r="H568" i="7" s="1"/>
  <c r="D80" i="7"/>
  <c r="H80" i="7" s="1"/>
  <c r="D584" i="7"/>
  <c r="H584" i="7" s="1"/>
  <c r="D406" i="7"/>
  <c r="H406" i="7" s="1"/>
  <c r="D573" i="7"/>
  <c r="H573" i="7" s="1"/>
  <c r="D642" i="7"/>
  <c r="H642" i="7" s="1"/>
  <c r="D280" i="7"/>
  <c r="H280" i="7" s="1"/>
  <c r="D63" i="7"/>
  <c r="H63" i="7" s="1"/>
  <c r="D371" i="7"/>
  <c r="H371" i="7" s="1"/>
  <c r="D384" i="7"/>
  <c r="H384" i="7" s="1"/>
  <c r="D396" i="7"/>
  <c r="H396" i="7" s="1"/>
  <c r="D574" i="7"/>
  <c r="H574" i="7" s="1"/>
  <c r="D281" i="7"/>
  <c r="H281" i="7" s="1"/>
  <c r="D457" i="7"/>
  <c r="H457" i="7" s="1"/>
  <c r="D303" i="7"/>
  <c r="H303" i="7" s="1"/>
  <c r="D435" i="7"/>
  <c r="H435" i="7" s="1"/>
  <c r="D585" i="7"/>
  <c r="H585" i="7" s="1"/>
  <c r="D340" i="7"/>
  <c r="H340" i="7" s="1"/>
  <c r="D582" i="7"/>
  <c r="H582" i="7" s="1"/>
  <c r="D393" i="7"/>
  <c r="H393" i="7" s="1"/>
  <c r="D614" i="7"/>
  <c r="H614" i="7" s="1"/>
  <c r="D544" i="7"/>
  <c r="H544" i="7" s="1"/>
  <c r="D638" i="7"/>
  <c r="H638" i="7" s="1"/>
  <c r="D256" i="7"/>
  <c r="H256" i="7" s="1"/>
  <c r="D168" i="7"/>
  <c r="H168" i="7" s="1"/>
  <c r="D161" i="7"/>
  <c r="H161" i="7" s="1"/>
  <c r="D242" i="7"/>
  <c r="H242" i="7" s="1"/>
  <c r="D606" i="7"/>
  <c r="H606" i="7" s="1"/>
  <c r="D547" i="7"/>
  <c r="H547" i="7" s="1"/>
  <c r="D12" i="7"/>
  <c r="H12" i="7" s="1"/>
  <c r="D123" i="7"/>
  <c r="H123" i="7" s="1"/>
  <c r="D461" i="7"/>
  <c r="H461" i="7" s="1"/>
  <c r="D248" i="7"/>
  <c r="H248" i="7" s="1"/>
  <c r="D640" i="7"/>
  <c r="H640" i="7" s="1"/>
  <c r="D149" i="7"/>
  <c r="H149" i="7" s="1"/>
  <c r="D205" i="7"/>
  <c r="H205" i="7" s="1"/>
  <c r="D575" i="7"/>
  <c r="H575" i="7" s="1"/>
  <c r="D159" i="7"/>
  <c r="H159" i="7" s="1"/>
  <c r="D450" i="7"/>
  <c r="H450" i="7" s="1"/>
  <c r="D167" i="7"/>
  <c r="H167" i="7" s="1"/>
  <c r="D129" i="7"/>
  <c r="H129" i="7" s="1"/>
  <c r="D557" i="7"/>
  <c r="H557" i="7" s="1"/>
  <c r="D112" i="7"/>
  <c r="H112" i="7" s="1"/>
  <c r="D302" i="7"/>
  <c r="H302" i="7" s="1"/>
  <c r="D169" i="7"/>
  <c r="H169" i="7" s="1"/>
  <c r="D194" i="7"/>
  <c r="H194" i="7" s="1"/>
  <c r="D35" i="7"/>
  <c r="H35" i="7" s="1"/>
  <c r="D127" i="7"/>
  <c r="H127" i="7" s="1"/>
  <c r="D218" i="7"/>
  <c r="H218" i="7" s="1"/>
  <c r="D23" i="7"/>
  <c r="H23" i="7" s="1"/>
  <c r="D449" i="7"/>
  <c r="H449" i="7" s="1"/>
  <c r="D173" i="7"/>
  <c r="H173" i="7" s="1"/>
  <c r="D635" i="7"/>
  <c r="H635" i="7" s="1"/>
  <c r="D130" i="7"/>
  <c r="H130" i="7" s="1"/>
  <c r="D639" i="7"/>
  <c r="H639" i="7" s="1"/>
  <c r="D191" i="7"/>
  <c r="H191" i="7" s="1"/>
  <c r="D215" i="7"/>
  <c r="H215" i="7" s="1"/>
  <c r="D7" i="7"/>
  <c r="H7" i="7" s="1"/>
  <c r="D338" i="7"/>
  <c r="H338" i="7" s="1"/>
  <c r="D576" i="7"/>
  <c r="H576" i="7" s="1"/>
  <c r="D454" i="7"/>
  <c r="H454" i="7" s="1"/>
  <c r="D480" i="7"/>
  <c r="H480" i="7" s="1"/>
  <c r="D631" i="7"/>
  <c r="H631" i="7" s="1"/>
  <c r="D185" i="7"/>
  <c r="H185" i="7" s="1"/>
  <c r="D260" i="7"/>
  <c r="H260" i="7" s="1"/>
  <c r="D122" i="7"/>
  <c r="H122" i="7" s="1"/>
  <c r="D625" i="7"/>
  <c r="H625" i="7" s="1"/>
  <c r="D619" i="7"/>
  <c r="H619" i="7" s="1"/>
  <c r="D209" i="7"/>
  <c r="H209" i="7" s="1"/>
  <c r="D68" i="7"/>
  <c r="H68" i="7" s="1"/>
  <c r="D618" i="7"/>
  <c r="H618" i="7" s="1"/>
  <c r="D300" i="7"/>
  <c r="H300" i="7" s="1"/>
  <c r="D235" i="7"/>
  <c r="H235" i="7" s="1"/>
  <c r="D627" i="7"/>
  <c r="H627" i="7" s="1"/>
  <c r="D553" i="7"/>
  <c r="H553" i="7" s="1"/>
  <c r="D427" i="7"/>
  <c r="H427" i="7" s="1"/>
  <c r="D96" i="7"/>
  <c r="H96" i="7" s="1"/>
  <c r="D364" i="7"/>
  <c r="H364" i="7" s="1"/>
  <c r="D257" i="7"/>
  <c r="H257" i="7" s="1"/>
  <c r="D342" i="7"/>
  <c r="H342" i="7" s="1"/>
  <c r="D463" i="7"/>
  <c r="H463" i="7" s="1"/>
  <c r="D155" i="7"/>
  <c r="H155" i="7" s="1"/>
  <c r="D586" i="7"/>
  <c r="H586" i="7" s="1"/>
  <c r="D550" i="7"/>
  <c r="H550" i="7" s="1"/>
  <c r="D184" i="7"/>
  <c r="H184" i="7" s="1"/>
  <c r="D598" i="7"/>
  <c r="H598" i="7" s="1"/>
  <c r="D150" i="7"/>
  <c r="H150" i="7" s="1"/>
  <c r="D206" i="7"/>
  <c r="H206" i="7" s="1"/>
  <c r="D560" i="7"/>
  <c r="H560" i="7" s="1"/>
  <c r="D376" i="7"/>
  <c r="H376" i="7" s="1"/>
  <c r="D569" i="7"/>
  <c r="H569" i="7" s="1"/>
  <c r="D530" i="7"/>
  <c r="H530" i="7" s="1"/>
  <c r="D362" i="7"/>
  <c r="H362" i="7" s="1"/>
  <c r="D91" i="7"/>
  <c r="H91" i="7" s="1"/>
  <c r="D211" i="7"/>
  <c r="H211" i="7" s="1"/>
  <c r="D572" i="7"/>
  <c r="H572" i="7" s="1"/>
  <c r="D634" i="7"/>
  <c r="H634" i="7" s="1"/>
  <c r="D325" i="7"/>
  <c r="H325" i="7" s="1"/>
  <c r="D488" i="7"/>
  <c r="H488" i="7" s="1"/>
  <c r="D177" i="7"/>
  <c r="H177" i="7" s="1"/>
  <c r="D624" i="7"/>
  <c r="H624" i="7" s="1"/>
  <c r="D356" i="7"/>
  <c r="H356" i="7" s="1"/>
  <c r="D114" i="7"/>
  <c r="H114" i="7" s="1"/>
  <c r="D383" i="7"/>
  <c r="H383" i="7" s="1"/>
  <c r="D636" i="7"/>
  <c r="H636" i="7" s="1"/>
  <c r="D562" i="7"/>
  <c r="H562" i="7" s="1"/>
  <c r="D55" i="7"/>
  <c r="H55" i="7" s="1"/>
  <c r="D305" i="7"/>
  <c r="H305" i="7" s="1"/>
  <c r="D201" i="7"/>
  <c r="H201" i="7" s="1"/>
  <c r="D324" i="7"/>
  <c r="H324" i="7" s="1"/>
  <c r="D199" i="7"/>
  <c r="H199" i="7" s="1"/>
  <c r="D277" i="7"/>
  <c r="H277" i="7" s="1"/>
  <c r="D380" i="7"/>
  <c r="H380" i="7" s="1"/>
  <c r="D514" i="7"/>
  <c r="H514" i="7" s="1"/>
  <c r="D612" i="7"/>
  <c r="H612" i="7" s="1"/>
  <c r="D335" i="7"/>
  <c r="H335" i="7" s="1"/>
  <c r="D472" i="7"/>
  <c r="H472" i="7" s="1"/>
  <c r="D202" i="7"/>
  <c r="H202" i="7" s="1"/>
  <c r="D504" i="7"/>
  <c r="H504" i="7" s="1"/>
  <c r="D152" i="7"/>
  <c r="H152" i="7" s="1"/>
  <c r="D363" i="7"/>
  <c r="H363" i="7" s="1"/>
  <c r="D350" i="7"/>
  <c r="H350" i="7" s="1"/>
  <c r="D103" i="7"/>
  <c r="H103" i="7" s="1"/>
  <c r="D65" i="7"/>
  <c r="H65" i="7" s="1"/>
  <c r="D633" i="7"/>
  <c r="H633" i="7" s="1"/>
  <c r="D543" i="7"/>
  <c r="H543" i="7" s="1"/>
  <c r="D170" i="7"/>
  <c r="H170" i="7" s="1"/>
  <c r="D188" i="7"/>
  <c r="H188" i="7" s="1"/>
  <c r="D196" i="7"/>
  <c r="H196" i="7" s="1"/>
  <c r="D147" i="7"/>
  <c r="H147" i="7" s="1"/>
  <c r="D265" i="7"/>
  <c r="H265" i="7" s="1"/>
  <c r="D566" i="7"/>
  <c r="H566" i="7" s="1"/>
  <c r="D483" i="7"/>
  <c r="H483" i="7" s="1"/>
  <c r="D513" i="7"/>
  <c r="H513" i="7" s="1"/>
  <c r="D359" i="7"/>
  <c r="H359" i="7" s="1"/>
  <c r="D577" i="7"/>
  <c r="H577" i="7" s="1"/>
  <c r="D445" i="7"/>
  <c r="H445" i="7" s="1"/>
  <c r="D346" i="7"/>
  <c r="H346" i="7" s="1"/>
  <c r="D382" i="7"/>
  <c r="H382" i="7" s="1"/>
  <c r="D395" i="7"/>
  <c r="H395" i="7" s="1"/>
  <c r="D250" i="7"/>
  <c r="H250" i="7" s="1"/>
  <c r="D460" i="7"/>
  <c r="H460" i="7" s="1"/>
  <c r="D628" i="7"/>
  <c r="H628" i="7" s="1"/>
  <c r="D220" i="7"/>
  <c r="H220" i="7" s="1"/>
  <c r="D611" i="7"/>
  <c r="H611" i="7" s="1"/>
  <c r="D141" i="7"/>
  <c r="H141" i="7" s="1"/>
  <c r="D299" i="7"/>
  <c r="H299" i="7" s="1"/>
  <c r="D500" i="7"/>
  <c r="H500" i="7" s="1"/>
  <c r="D609" i="7"/>
  <c r="H609" i="7" s="1"/>
  <c r="D523" i="7"/>
  <c r="H523" i="7" s="1"/>
  <c r="D497" i="7"/>
  <c r="H497" i="7" s="1"/>
  <c r="D428" i="7"/>
  <c r="H428" i="7" s="1"/>
  <c r="D9" i="7"/>
  <c r="H9" i="7" s="1"/>
  <c r="D515" i="7"/>
  <c r="H515" i="7" s="1"/>
  <c r="D521" i="7"/>
  <c r="H521" i="7" s="1"/>
  <c r="D174" i="7"/>
  <c r="H174" i="7" s="1"/>
  <c r="D536" i="7"/>
  <c r="H536" i="7" s="1"/>
  <c r="D629" i="7"/>
  <c r="H629" i="7" s="1"/>
  <c r="D310" i="7"/>
  <c r="H310" i="7" s="1"/>
  <c r="D531" i="7"/>
  <c r="H531" i="7" s="1"/>
  <c r="D190" i="7"/>
  <c r="H190" i="7" s="1"/>
  <c r="D419" i="7"/>
  <c r="H419" i="7" s="1"/>
  <c r="D154" i="7"/>
  <c r="H154" i="7" s="1"/>
  <c r="D290" i="7"/>
  <c r="H290" i="7" s="1"/>
  <c r="D369" i="7"/>
  <c r="H369" i="7" s="1"/>
  <c r="D124" i="7"/>
  <c r="H124" i="7" s="1"/>
  <c r="D563" i="7"/>
  <c r="H563" i="7" s="1"/>
  <c r="D192" i="7"/>
  <c r="H192" i="7" s="1"/>
  <c r="D263" i="7"/>
  <c r="H263" i="7" s="1"/>
  <c r="D616" i="7"/>
  <c r="H616" i="7" s="1"/>
  <c r="D390" i="7"/>
  <c r="H390" i="7" s="1"/>
  <c r="D430" i="7"/>
  <c r="H430" i="7" s="1"/>
  <c r="D529" i="7"/>
  <c r="H529" i="7" s="1"/>
  <c r="D297" i="7"/>
  <c r="H297" i="7" s="1"/>
  <c r="D282" i="7"/>
  <c r="H282" i="7" s="1"/>
  <c r="D236" i="7"/>
  <c r="H236" i="7" s="1"/>
  <c r="D473" i="7"/>
  <c r="H473" i="7" s="1"/>
  <c r="D223" i="7"/>
  <c r="H223" i="7" s="1"/>
  <c r="D377" i="7"/>
  <c r="H377" i="7" s="1"/>
  <c r="D410" i="7"/>
  <c r="H410" i="7" s="1"/>
  <c r="D588" i="7"/>
  <c r="H588" i="7" s="1"/>
  <c r="D580" i="7"/>
  <c r="H580" i="7" s="1"/>
  <c r="D561" i="7"/>
  <c r="H561" i="7" s="1"/>
  <c r="D538" i="7"/>
  <c r="H538" i="7" s="1"/>
  <c r="D326" i="7"/>
  <c r="H326" i="7" s="1"/>
  <c r="D469" i="7"/>
  <c r="H469" i="7" s="1"/>
  <c r="D554" i="7"/>
  <c r="H554" i="7" s="1"/>
  <c r="D510" i="7"/>
  <c r="H510" i="7" s="1"/>
  <c r="D637" i="7"/>
  <c r="H637" i="7" s="1"/>
  <c r="D591" i="7"/>
  <c r="H591" i="7" s="1"/>
  <c r="D527" i="7"/>
  <c r="H527" i="7" s="1"/>
  <c r="D512" i="7"/>
  <c r="H512" i="7" s="1"/>
  <c r="D571" i="7"/>
  <c r="H571" i="7" s="1"/>
  <c r="D104" i="7"/>
  <c r="H104" i="7" s="1"/>
  <c r="D344" i="7"/>
  <c r="H344" i="7" s="1"/>
  <c r="D270" i="7"/>
  <c r="H270" i="7" s="1"/>
  <c r="D433" i="7"/>
  <c r="H433" i="7" s="1"/>
  <c r="D374" i="7"/>
  <c r="H374" i="7" s="1"/>
  <c r="D479" i="7"/>
  <c r="H479" i="7" s="1"/>
  <c r="D381" i="7"/>
  <c r="H381" i="7" s="1"/>
  <c r="D477" i="7"/>
  <c r="H477" i="7" s="1"/>
  <c r="D345" i="7"/>
  <c r="H345" i="7" s="1"/>
  <c r="D134" i="7"/>
  <c r="H134" i="7" s="1"/>
  <c r="D498" i="7"/>
  <c r="H498" i="7" s="1"/>
  <c r="D487" i="7"/>
  <c r="H487" i="7" s="1"/>
  <c r="D590" i="7"/>
  <c r="H590" i="7" s="1"/>
  <c r="D551" i="7"/>
  <c r="H551" i="7" s="1"/>
  <c r="D261" i="7"/>
  <c r="H261" i="7" s="1"/>
  <c r="D505" i="7"/>
  <c r="H505" i="7" s="1"/>
  <c r="D549" i="7"/>
  <c r="H549" i="7" s="1"/>
  <c r="D132" i="7"/>
  <c r="H132" i="7" s="1"/>
  <c r="D501" i="7"/>
  <c r="H501" i="7" s="1"/>
  <c r="D623" i="7"/>
  <c r="H623" i="7" s="1"/>
  <c r="D604" i="7"/>
  <c r="H604" i="7" s="1"/>
  <c r="D128" i="7"/>
  <c r="H128" i="7" s="1"/>
  <c r="D448" i="7"/>
  <c r="H448" i="7" s="1"/>
  <c r="D548" i="7"/>
  <c r="H548" i="7" s="1"/>
  <c r="D246" i="7"/>
  <c r="H246" i="7" s="1"/>
  <c r="D405" i="7"/>
  <c r="H405" i="7" s="1"/>
  <c r="D565" i="7"/>
  <c r="H565" i="7" s="1"/>
  <c r="D64" i="7"/>
  <c r="H64" i="7" s="1"/>
  <c r="D230" i="7"/>
  <c r="H230" i="7" s="1"/>
  <c r="D216" i="7"/>
  <c r="H216" i="7" s="1"/>
  <c r="D559" i="7"/>
  <c r="H559" i="7" s="1"/>
  <c r="D626" i="7"/>
  <c r="H626" i="7" s="1"/>
  <c r="D195" i="7"/>
  <c r="H195" i="7" s="1"/>
  <c r="D178" i="7"/>
  <c r="H178" i="7" s="1"/>
  <c r="D534" i="7"/>
  <c r="H534" i="7" s="1"/>
  <c r="D221" i="7"/>
  <c r="H221" i="7" s="1"/>
  <c r="D452" i="7"/>
  <c r="H452" i="7" s="1"/>
  <c r="D602" i="7"/>
  <c r="H602" i="7" s="1"/>
  <c r="D535" i="7"/>
  <c r="H535" i="7" s="1"/>
  <c r="D587" i="7"/>
  <c r="H587" i="7" s="1"/>
  <c r="D408" i="7"/>
  <c r="H408" i="7" s="1"/>
  <c r="D418" i="7"/>
  <c r="H418" i="7" s="1"/>
  <c r="D158" i="7"/>
  <c r="H158" i="7" s="1"/>
  <c r="D131" i="7"/>
  <c r="H131" i="7" s="1"/>
  <c r="D416" i="7"/>
  <c r="H416" i="7" s="1"/>
  <c r="D583" i="7"/>
  <c r="H583" i="7" s="1"/>
  <c r="D148" i="7"/>
  <c r="H148" i="7" s="1"/>
  <c r="D118" i="7"/>
  <c r="H118" i="7" s="1"/>
  <c r="D413" i="7"/>
  <c r="H413" i="7" s="1"/>
  <c r="D446" i="7"/>
  <c r="H446" i="7" s="1"/>
  <c r="D503" i="7"/>
  <c r="H503" i="7" s="1"/>
  <c r="D228" i="7"/>
  <c r="H228" i="7" s="1"/>
  <c r="D474" i="7"/>
  <c r="H474" i="7" s="1"/>
  <c r="D151" i="7"/>
  <c r="H151" i="7" s="1"/>
  <c r="D332" i="7"/>
  <c r="H332" i="7" s="1"/>
  <c r="D436" i="7"/>
  <c r="H436" i="7" s="1"/>
  <c r="D444" i="7"/>
  <c r="H444" i="7" s="1"/>
  <c r="D283" i="7"/>
  <c r="H283" i="7" s="1"/>
  <c r="D519" i="7"/>
  <c r="H519" i="7" s="1"/>
  <c r="D490" i="7"/>
  <c r="H490" i="7" s="1"/>
  <c r="D254" i="7"/>
  <c r="H254" i="7" s="1"/>
  <c r="D494" i="7"/>
  <c r="H494" i="7" s="1"/>
  <c r="D422" i="7"/>
  <c r="H422" i="7" s="1"/>
  <c r="D336" i="7"/>
  <c r="H336" i="7" s="1"/>
  <c r="D594" i="7"/>
  <c r="H594" i="7" s="1"/>
  <c r="D399" i="7"/>
  <c r="H399" i="7" s="1"/>
  <c r="D34" i="7"/>
  <c r="H34" i="7" s="1"/>
  <c r="D453" i="7"/>
  <c r="H453" i="7" s="1"/>
  <c r="D392" i="7"/>
  <c r="H392" i="7" s="1"/>
  <c r="D411" i="7"/>
  <c r="H411" i="7" s="1"/>
  <c r="D617" i="7"/>
  <c r="H617" i="7" s="1"/>
  <c r="D620" i="7"/>
  <c r="H620" i="7" s="1"/>
  <c r="D272" i="7"/>
  <c r="H272" i="7" s="1"/>
  <c r="D398" i="7"/>
  <c r="H398" i="7" s="1"/>
  <c r="D421" i="7"/>
  <c r="H421" i="7" s="1"/>
  <c r="D552" i="7"/>
  <c r="H552" i="7" s="1"/>
  <c r="D540" i="7"/>
  <c r="H540" i="7" s="1"/>
  <c r="D330" i="7"/>
  <c r="H330" i="7" s="1"/>
  <c r="D471" i="7"/>
  <c r="H471" i="7" s="1"/>
  <c r="D476" i="7"/>
  <c r="H476" i="7" s="1"/>
  <c r="D352" i="7"/>
  <c r="H352" i="7" s="1"/>
  <c r="D546" i="7"/>
  <c r="H546" i="7" s="1"/>
  <c r="D525" i="7"/>
  <c r="H525" i="7" s="1"/>
  <c r="D467" i="7"/>
  <c r="H467" i="7" s="1"/>
  <c r="D219" i="7"/>
  <c r="H219" i="7" s="1"/>
  <c r="D643" i="7"/>
  <c r="H643" i="7" s="1"/>
  <c r="D343" i="7"/>
  <c r="H343" i="7" s="1"/>
  <c r="D292" i="7"/>
  <c r="H292" i="7" s="1"/>
  <c r="D489" i="7"/>
  <c r="H489" i="7" s="1"/>
  <c r="D447" i="7"/>
  <c r="H447" i="7" s="1"/>
  <c r="D308" i="7"/>
  <c r="H308" i="7" s="1"/>
  <c r="D51" i="7"/>
  <c r="H51" i="7" s="1"/>
  <c r="D595" i="7"/>
  <c r="H595" i="7" s="1"/>
  <c r="D249" i="7"/>
  <c r="H249" i="7" s="1"/>
  <c r="D478" i="7"/>
  <c r="H478" i="7" s="1"/>
  <c r="D437" i="7"/>
  <c r="H437" i="7" s="1"/>
  <c r="D375" i="7"/>
  <c r="H375" i="7" s="1"/>
  <c r="D482" i="7"/>
  <c r="H482" i="7" s="1"/>
  <c r="D388" i="7"/>
  <c r="H388" i="7" s="1"/>
  <c r="D429" i="7"/>
  <c r="H429" i="7" s="1"/>
  <c r="D349" i="7"/>
  <c r="H349" i="7" s="1"/>
  <c r="D315" i="7"/>
  <c r="H315" i="7" s="1"/>
  <c r="D567" i="7"/>
  <c r="H567" i="7" s="1"/>
  <c r="D239" i="7"/>
  <c r="H239" i="7" s="1"/>
  <c r="D234" i="7"/>
  <c r="H234" i="7" s="1"/>
  <c r="D502" i="7"/>
  <c r="H502" i="7" s="1"/>
  <c r="D442" i="7"/>
  <c r="H442" i="7" s="1"/>
  <c r="D361" i="7"/>
  <c r="H361" i="7" s="1"/>
  <c r="D397" i="7"/>
  <c r="H397" i="7" s="1"/>
  <c r="D268" i="7"/>
  <c r="H268" i="7" s="1"/>
  <c r="D367" i="7"/>
  <c r="H367" i="7" s="1"/>
  <c r="D259" i="7"/>
  <c r="H259" i="7" s="1"/>
  <c r="D317" i="7"/>
  <c r="H317" i="7" s="1"/>
  <c r="D466" i="7"/>
  <c r="H466" i="7" s="1"/>
  <c r="D391" i="7"/>
  <c r="H391" i="7" s="1"/>
  <c r="D556" i="7"/>
  <c r="H556" i="7" s="1"/>
  <c r="D164" i="7"/>
  <c r="H164" i="7" s="1"/>
  <c r="D323" i="7"/>
  <c r="H323" i="7" s="1"/>
  <c r="D555" i="7"/>
  <c r="H555" i="7" s="1"/>
  <c r="D276" i="7"/>
  <c r="H276" i="7" s="1"/>
  <c r="D264" i="7"/>
  <c r="H264" i="7" s="1"/>
  <c r="D314" i="7"/>
  <c r="H314" i="7" s="1"/>
  <c r="D431" i="7"/>
  <c r="H431" i="7" s="1"/>
  <c r="D61" i="7"/>
  <c r="H61" i="7" s="1"/>
  <c r="D203" i="7"/>
  <c r="H203" i="7" s="1"/>
  <c r="D126" i="7"/>
  <c r="H126" i="7" s="1"/>
  <c r="D243" i="7"/>
  <c r="H243" i="7" s="1"/>
  <c r="D229" i="7"/>
  <c r="H229" i="7" s="1"/>
  <c r="D271" i="7"/>
  <c r="H271" i="7" s="1"/>
  <c r="D33" i="7"/>
  <c r="H33" i="7" s="1"/>
  <c r="D210" i="7"/>
  <c r="H210" i="7" s="1"/>
  <c r="D144" i="7"/>
  <c r="H144" i="7" s="1"/>
  <c r="D274" i="7"/>
  <c r="H274" i="7" s="1"/>
  <c r="D564" i="7"/>
  <c r="H564" i="7" s="1"/>
  <c r="D284" i="7"/>
  <c r="H284" i="7" s="1"/>
  <c r="D358" i="7"/>
  <c r="H358" i="7" s="1"/>
  <c r="D443" i="7"/>
  <c r="H443" i="7" s="1"/>
  <c r="D355" i="7"/>
  <c r="H355" i="7" s="1"/>
  <c r="D78" i="7"/>
  <c r="H78" i="7" s="1"/>
  <c r="D597" i="7"/>
  <c r="H597" i="7" s="1"/>
  <c r="D370" i="7"/>
  <c r="H370" i="7" s="1"/>
  <c r="D426" i="7"/>
  <c r="H426" i="7" s="1"/>
  <c r="D66" i="7"/>
  <c r="H66" i="7" s="1"/>
  <c r="D328" i="7"/>
  <c r="H328" i="7" s="1"/>
  <c r="D316" i="7"/>
  <c r="H316" i="7" s="1"/>
  <c r="D542" i="7"/>
  <c r="H542" i="7" s="1"/>
  <c r="D404" i="7"/>
  <c r="H404" i="7" s="1"/>
  <c r="D578" i="7"/>
  <c r="H578" i="7" s="1"/>
  <c r="D491" i="7"/>
  <c r="H491" i="7" s="1"/>
  <c r="D385" i="7"/>
  <c r="H385" i="7" s="1"/>
  <c r="D197" i="7"/>
  <c r="H197" i="7" s="1"/>
  <c r="D273" i="7"/>
  <c r="H273" i="7" s="1"/>
  <c r="D414" i="7"/>
  <c r="H414" i="7" s="1"/>
  <c r="D18" i="7"/>
  <c r="H18" i="7" s="1"/>
  <c r="D115" i="7"/>
  <c r="H115" i="7" s="1"/>
  <c r="D106" i="7"/>
  <c r="H106" i="7" s="1"/>
  <c r="D251" i="7"/>
  <c r="H251" i="7" s="1"/>
  <c r="D89" i="7"/>
  <c r="H89" i="7" s="1"/>
  <c r="D109" i="7"/>
  <c r="H109" i="7" s="1"/>
  <c r="D244" i="7"/>
  <c r="H244" i="7" s="1"/>
  <c r="D182" i="7"/>
  <c r="H182" i="7" s="1"/>
  <c r="D592" i="7"/>
  <c r="H592" i="7" s="1"/>
  <c r="D321" i="7"/>
  <c r="H321" i="7" s="1"/>
  <c r="D162" i="7"/>
  <c r="H162" i="7" s="1"/>
  <c r="D360" i="7"/>
  <c r="H360" i="7" s="1"/>
  <c r="D241" i="7"/>
  <c r="H241" i="7" s="1"/>
  <c r="D287" i="7"/>
  <c r="H287" i="7" s="1"/>
  <c r="D333" i="7"/>
  <c r="H333" i="7" s="1"/>
  <c r="D138" i="7"/>
  <c r="H138" i="7" s="1"/>
  <c r="D166" i="7"/>
  <c r="H166" i="7" s="1"/>
  <c r="D309" i="7"/>
  <c r="H309" i="7" s="1"/>
  <c r="D603" i="7"/>
  <c r="H603" i="7" s="1"/>
  <c r="D171" i="7"/>
  <c r="H171" i="7" s="1"/>
  <c r="D607" i="7"/>
  <c r="H607" i="7" s="1"/>
  <c r="D470" i="7"/>
  <c r="H470" i="7" s="1"/>
  <c r="D22" i="7"/>
  <c r="H22" i="7" s="1"/>
  <c r="D341" i="7"/>
  <c r="H341" i="7" s="1"/>
  <c r="D486" i="7"/>
  <c r="H486" i="7" s="1"/>
  <c r="D347" i="7"/>
  <c r="H347" i="7" s="1"/>
  <c r="D337" i="7"/>
  <c r="H337" i="7" s="1"/>
  <c r="D108" i="7"/>
  <c r="H108" i="7" s="1"/>
  <c r="D462" i="7"/>
  <c r="H462" i="7" s="1"/>
  <c r="D378" i="7"/>
  <c r="H378" i="7" s="1"/>
  <c r="D74" i="7"/>
  <c r="H74" i="7" s="1"/>
  <c r="D252" i="7"/>
  <c r="H252" i="7" s="1"/>
  <c r="D327" i="7"/>
  <c r="H327" i="7" s="1"/>
  <c r="D180" i="7"/>
  <c r="H180" i="7" s="1"/>
  <c r="D509" i="7"/>
  <c r="H509" i="7" s="1"/>
  <c r="D298" i="7"/>
  <c r="H298" i="7" s="1"/>
  <c r="D245" i="7"/>
  <c r="H245" i="7" s="1"/>
  <c r="D438" i="7"/>
  <c r="H438" i="7" s="1"/>
  <c r="D207" i="7"/>
  <c r="H207" i="7" s="1"/>
  <c r="D425" i="7"/>
  <c r="H425" i="7" s="1"/>
  <c r="D508" i="7"/>
  <c r="H508" i="7" s="1"/>
  <c r="D49" i="7"/>
  <c r="H49" i="7" s="1"/>
  <c r="D163" i="7"/>
  <c r="H163" i="7" s="1"/>
  <c r="D214" i="7"/>
  <c r="H214" i="7" s="1"/>
  <c r="D306" i="7"/>
  <c r="H306" i="7" s="1"/>
  <c r="D372" i="7"/>
  <c r="H372" i="7" s="1"/>
  <c r="D312" i="7"/>
  <c r="H312" i="7" s="1"/>
  <c r="D615" i="7"/>
  <c r="H615" i="7" s="1"/>
  <c r="D189" i="7"/>
  <c r="H189" i="7" s="1"/>
  <c r="D441" i="7"/>
  <c r="H441" i="7" s="1"/>
  <c r="D232" i="7"/>
  <c r="H232" i="7" s="1"/>
  <c r="D537" i="7"/>
  <c r="H537" i="7" s="1"/>
  <c r="D279" i="7"/>
  <c r="H279" i="7" s="1"/>
  <c r="D353" i="7"/>
  <c r="H353" i="7" s="1"/>
  <c r="D116" i="7"/>
  <c r="H116" i="7" s="1"/>
  <c r="D136" i="7"/>
  <c r="H136" i="7" s="1"/>
  <c r="D307" i="7"/>
  <c r="H307" i="7" s="1"/>
  <c r="D238" i="7"/>
  <c r="H238" i="7" s="1"/>
  <c r="D539" i="7"/>
  <c r="H539" i="7" s="1"/>
  <c r="D613" i="7"/>
  <c r="H613" i="7" s="1"/>
  <c r="D140" i="7"/>
  <c r="H140" i="7" s="1"/>
  <c r="D357" i="7"/>
  <c r="H357" i="7" s="1"/>
  <c r="D286" i="7"/>
  <c r="H286" i="7" s="1"/>
  <c r="D15" i="7"/>
  <c r="H15" i="7" s="1"/>
  <c r="D13" i="7"/>
  <c r="H13" i="7" s="1"/>
  <c r="D520" i="7"/>
  <c r="H520" i="7" s="1"/>
  <c r="D291" i="7"/>
  <c r="H291" i="7" s="1"/>
  <c r="D394" i="7"/>
  <c r="H394" i="7" s="1"/>
  <c r="D153" i="7"/>
  <c r="H153" i="7" s="1"/>
  <c r="D434" i="7"/>
  <c r="H434" i="7" s="1"/>
  <c r="D401" i="7"/>
  <c r="H401" i="7" s="1"/>
  <c r="D36" i="7"/>
  <c r="H36" i="7" s="1"/>
  <c r="D366" i="7"/>
  <c r="H366" i="7" s="1"/>
  <c r="D212" i="7"/>
  <c r="H212" i="7" s="1"/>
  <c r="D389" i="7"/>
  <c r="H389" i="7" s="1"/>
  <c r="D601" i="7"/>
  <c r="H601" i="7" s="1"/>
  <c r="D412" i="7"/>
  <c r="H412" i="7" s="1"/>
  <c r="D187" i="7"/>
  <c r="H187" i="7" s="1"/>
  <c r="D526" i="7"/>
  <c r="H526" i="7" s="1"/>
  <c r="D119" i="7"/>
  <c r="H119" i="7" s="1"/>
  <c r="D432" i="7"/>
  <c r="H432" i="7" s="1"/>
  <c r="D415" i="7"/>
  <c r="H415" i="7" s="1"/>
  <c r="D231" i="7"/>
  <c r="H231" i="7" s="1"/>
  <c r="D641" i="7"/>
  <c r="H641" i="7" s="1"/>
  <c r="D468" i="7"/>
  <c r="H468" i="7" s="1"/>
  <c r="D522" i="7"/>
  <c r="H522" i="7" s="1"/>
  <c r="D495" i="7"/>
  <c r="H495" i="7" s="1"/>
  <c r="D262" i="7"/>
  <c r="H262" i="7" s="1"/>
  <c r="D176" i="7"/>
  <c r="H176" i="7" s="1"/>
  <c r="D224" i="7"/>
  <c r="H224" i="7" s="1"/>
  <c r="D318" i="7"/>
  <c r="H318" i="7" s="1"/>
  <c r="D240" i="7"/>
  <c r="H240" i="7" s="1"/>
  <c r="D348" i="7"/>
  <c r="H348" i="7" s="1"/>
  <c r="D475" i="7"/>
  <c r="H475" i="7" s="1"/>
  <c r="D43" i="7"/>
  <c r="H43" i="7" s="1"/>
  <c r="D288" i="7"/>
  <c r="H288" i="7" s="1"/>
  <c r="D386" i="7"/>
  <c r="H386" i="7" s="1"/>
  <c r="D541" i="7"/>
  <c r="H541" i="7" s="1"/>
  <c r="D38" i="7"/>
  <c r="H38" i="7" s="1"/>
  <c r="D208" i="7"/>
  <c r="H208" i="7" s="1"/>
  <c r="D135" i="7"/>
  <c r="H135" i="7" s="1"/>
  <c r="D533" i="7"/>
  <c r="H533" i="7" s="1"/>
  <c r="D455" i="7"/>
  <c r="H455" i="7" s="1"/>
  <c r="D373" i="7"/>
  <c r="H373" i="7" s="1"/>
  <c r="D600" i="7"/>
  <c r="H600" i="7" s="1"/>
  <c r="D285" i="7"/>
  <c r="H285" i="7" s="1"/>
  <c r="D172" i="7"/>
  <c r="H172" i="7" s="1"/>
  <c r="D200" i="7"/>
  <c r="H200" i="7" s="1"/>
  <c r="D632" i="7"/>
  <c r="H632" i="7" s="1"/>
  <c r="D267" i="7"/>
  <c r="H267" i="7" s="1"/>
  <c r="D181" i="7"/>
  <c r="H181" i="7" s="1"/>
  <c r="D5" i="7"/>
  <c r="H5" i="7" s="1"/>
  <c r="D581" i="7"/>
  <c r="H581" i="7" s="1"/>
  <c r="D331" i="7"/>
  <c r="H331" i="7" s="1"/>
  <c r="D516" i="7"/>
  <c r="H516" i="7" s="1"/>
  <c r="D387" i="7"/>
  <c r="H387" i="7" s="1"/>
  <c r="D295" i="7"/>
  <c r="H295" i="7" s="1"/>
  <c r="D596" i="7"/>
  <c r="H596" i="7" s="1"/>
  <c r="D193" i="7"/>
  <c r="H193" i="7" s="1"/>
  <c r="D26" i="7"/>
  <c r="H26" i="7" s="1"/>
  <c r="D420" i="7"/>
  <c r="H420" i="7" s="1"/>
  <c r="D485" i="7"/>
  <c r="H485" i="7" s="1"/>
  <c r="D204" i="7"/>
  <c r="H204" i="7" s="1"/>
  <c r="D143" i="7"/>
  <c r="H143" i="7" s="1"/>
  <c r="D186" i="7"/>
  <c r="H186" i="7" s="1"/>
  <c r="D570" i="7"/>
  <c r="H570" i="7" s="1"/>
  <c r="D524" i="7"/>
  <c r="H524" i="7" s="1"/>
  <c r="D40" i="7"/>
  <c r="H40" i="7" s="1"/>
  <c r="D351" i="7"/>
  <c r="H351" i="7" s="1"/>
  <c r="D329" i="7"/>
  <c r="H329" i="7" s="1"/>
  <c r="D247" i="7"/>
  <c r="H247" i="7" s="1"/>
  <c r="D301" i="7"/>
  <c r="H301" i="7" s="1"/>
  <c r="D54" i="7"/>
  <c r="H54" i="7" s="1"/>
  <c r="D481" i="7"/>
  <c r="H481" i="7" s="1"/>
  <c r="D354" i="7"/>
  <c r="H354" i="7" s="1"/>
  <c r="D511" i="7"/>
  <c r="H511" i="7" s="1"/>
  <c r="D275" i="7"/>
  <c r="H275" i="7" s="1"/>
  <c r="D320" i="7"/>
  <c r="H320" i="7" s="1"/>
  <c r="D484" i="7"/>
  <c r="H484" i="7" s="1"/>
  <c r="D233" i="7"/>
  <c r="H233" i="7" s="1"/>
  <c r="D278" i="7"/>
  <c r="H278" i="7" s="1"/>
  <c r="D334" i="7"/>
  <c r="H334" i="7" s="1"/>
  <c r="D402" i="7"/>
  <c r="H402" i="7" s="1"/>
  <c r="D379" i="7"/>
  <c r="H379" i="7" s="1"/>
  <c r="D255" i="7"/>
  <c r="H255" i="7" s="1"/>
  <c r="D293" i="7"/>
  <c r="H293" i="7" s="1"/>
  <c r="D70" i="7"/>
  <c r="H70" i="7" s="1"/>
  <c r="D160" i="7"/>
  <c r="H160" i="7" s="1"/>
  <c r="D368" i="7"/>
  <c r="H368" i="7" s="1"/>
  <c r="D120" i="7"/>
  <c r="H120" i="7" s="1"/>
  <c r="D137" i="7"/>
  <c r="H137" i="7" s="1"/>
  <c r="D227" i="7"/>
  <c r="H227" i="7" s="1"/>
  <c r="D95" i="7"/>
  <c r="H95" i="7" s="1"/>
  <c r="D456" i="7"/>
  <c r="H456" i="7" s="1"/>
  <c r="D217" i="7"/>
  <c r="H217" i="7" s="1"/>
  <c r="D339" i="7"/>
  <c r="H339" i="7" s="1"/>
  <c r="D125" i="7"/>
  <c r="H125" i="7" s="1"/>
  <c r="D175" i="7"/>
  <c r="H175" i="7" s="1"/>
  <c r="D313" i="7"/>
  <c r="H313" i="7" s="1"/>
  <c r="D294" i="7"/>
  <c r="H294" i="7" s="1"/>
  <c r="D579" i="7"/>
  <c r="H579" i="7" s="1"/>
  <c r="D599" i="7"/>
  <c r="H599" i="7" s="1"/>
  <c r="D417" i="7"/>
  <c r="H417" i="7" s="1"/>
  <c r="D8" i="7"/>
  <c r="H8" i="7" s="1"/>
  <c r="D608" i="7"/>
  <c r="H608" i="7" s="1"/>
  <c r="D16" i="7"/>
  <c r="H16" i="7" s="1"/>
  <c r="D296" i="7"/>
  <c r="H296" i="7" s="1"/>
  <c r="D111" i="7"/>
  <c r="H111" i="7" s="1"/>
  <c r="D304" i="7"/>
  <c r="H304" i="7" s="1"/>
  <c r="D105" i="7"/>
  <c r="H105" i="7" s="1"/>
  <c r="D121" i="7"/>
  <c r="H121" i="7" s="1"/>
  <c r="D87" i="7"/>
  <c r="H87" i="7" s="1"/>
  <c r="D145" i="7"/>
  <c r="H145" i="7" s="1"/>
  <c r="D226" i="7"/>
  <c r="H226" i="7" s="1"/>
  <c r="D213" i="7"/>
  <c r="H213" i="7" s="1"/>
  <c r="D518" i="7"/>
  <c r="H518" i="7" s="1"/>
  <c r="D400" i="7"/>
  <c r="H400" i="7" s="1"/>
  <c r="D157" i="7"/>
  <c r="H157" i="7" s="1"/>
  <c r="D142" i="7"/>
  <c r="H142" i="7" s="1"/>
  <c r="D589" i="7"/>
  <c r="H589" i="7" s="1"/>
  <c r="D52" i="7"/>
  <c r="H52" i="7" s="1"/>
  <c r="D253" i="7"/>
  <c r="H253" i="7" s="1"/>
  <c r="D2" i="7"/>
  <c r="H2" i="7" s="1"/>
  <c r="D424" i="7"/>
  <c r="H424" i="7" s="1"/>
  <c r="D440" i="7"/>
  <c r="H440" i="7" s="1"/>
  <c r="D492" i="7"/>
  <c r="H492" i="7" s="1"/>
  <c r="D506" i="7"/>
  <c r="H506" i="7" s="1"/>
  <c r="D289" i="7"/>
  <c r="H289" i="7" s="1"/>
  <c r="D409" i="7"/>
  <c r="H409" i="7" s="1"/>
  <c r="D532" i="7"/>
  <c r="H532" i="7" s="1"/>
  <c r="D407" i="7"/>
  <c r="H407" i="7" s="1"/>
  <c r="D319" i="7"/>
  <c r="H319" i="7" s="1"/>
  <c r="D266" i="7"/>
  <c r="H266" i="7" s="1"/>
  <c r="D146" i="7"/>
  <c r="H146" i="7" s="1"/>
  <c r="D465" i="7"/>
  <c r="H465" i="7" s="1"/>
  <c r="D156" i="7"/>
  <c r="H156" i="7" s="1"/>
  <c r="D133" i="7"/>
  <c r="H133" i="7" s="1"/>
  <c r="D621" i="7"/>
  <c r="H621" i="7" s="1"/>
  <c r="D528" i="7"/>
  <c r="H528" i="7" s="1"/>
  <c r="D322" i="7"/>
  <c r="H322" i="7" s="1"/>
  <c r="D269" i="7"/>
  <c r="H269" i="7" s="1"/>
  <c r="D311" i="7"/>
  <c r="H311" i="7" s="1"/>
  <c r="D20" i="7"/>
  <c r="H20" i="7" s="1"/>
  <c r="D183" i="7"/>
  <c r="H183" i="7" s="1"/>
  <c r="D258" i="7"/>
  <c r="H258" i="7" s="1"/>
  <c r="D25" i="7"/>
  <c r="H25" i="7" s="1"/>
  <c r="D198" i="7"/>
  <c r="H198" i="7" s="1"/>
  <c r="D19" i="7"/>
  <c r="H19" i="7" s="1"/>
  <c r="D21" i="7"/>
  <c r="H21" i="7" s="1"/>
  <c r="D107" i="7"/>
  <c r="H107" i="7" s="1"/>
  <c r="D71" i="7"/>
  <c r="H71" i="7" s="1"/>
  <c r="D17" i="7"/>
  <c r="H17" i="7" s="1"/>
  <c r="D6" i="7"/>
  <c r="H6" i="7" s="1"/>
  <c r="D45" i="7"/>
  <c r="H45" i="7" s="1"/>
  <c r="D57" i="7"/>
  <c r="H57" i="7" s="1"/>
  <c r="D98" i="7"/>
  <c r="H98" i="7" s="1"/>
  <c r="D27" i="7"/>
  <c r="H27" i="7" s="1"/>
  <c r="D117" i="7"/>
  <c r="H117" i="7" s="1"/>
  <c r="D28" i="7"/>
  <c r="H28" i="7" s="1"/>
  <c r="D82" i="7"/>
  <c r="H82" i="7" s="1"/>
  <c r="D84" i="7"/>
  <c r="H84" i="7" s="1"/>
  <c r="D69" i="7"/>
  <c r="H69" i="7" s="1"/>
  <c r="D14" i="7"/>
  <c r="H14" i="7" s="1"/>
  <c r="D94" i="7"/>
  <c r="H94" i="7" s="1"/>
  <c r="D97" i="7"/>
  <c r="H97" i="7" s="1"/>
  <c r="D44" i="7"/>
  <c r="H44" i="7" s="1"/>
  <c r="D88" i="7"/>
  <c r="H88" i="7" s="1"/>
  <c r="D48" i="7"/>
  <c r="H48" i="7" s="1"/>
  <c r="D41" i="7"/>
  <c r="H41" i="7" s="1"/>
  <c r="D75" i="7"/>
  <c r="H75" i="7" s="1"/>
  <c r="D83" i="7"/>
  <c r="H83" i="7" s="1"/>
  <c r="D31" i="7"/>
  <c r="H31" i="7" s="1"/>
  <c r="D81" i="7"/>
  <c r="H81" i="7" s="1"/>
  <c r="D62" i="7"/>
  <c r="H62" i="7" s="1"/>
  <c r="D58" i="7"/>
  <c r="H58" i="7" s="1"/>
  <c r="D101" i="7"/>
  <c r="H101" i="7" s="1"/>
  <c r="D11" i="7"/>
  <c r="H11" i="7" s="1"/>
  <c r="D79" i="7"/>
  <c r="H79" i="7" s="1"/>
  <c r="D77" i="7"/>
  <c r="H77" i="7" s="1"/>
  <c r="D139" i="7"/>
  <c r="H139" i="7" s="1"/>
  <c r="D42" i="7"/>
  <c r="H42" i="7" s="1"/>
  <c r="D10" i="7"/>
  <c r="H10" i="7" s="1"/>
  <c r="D37" i="7"/>
  <c r="H37" i="7" s="1"/>
  <c r="D29" i="7"/>
  <c r="H29" i="7" s="1"/>
  <c r="D47" i="7"/>
  <c r="H47" i="7" s="1"/>
  <c r="D99" i="7"/>
  <c r="H99" i="7" s="1"/>
  <c r="D67" i="7"/>
  <c r="H67" i="7" s="1"/>
  <c r="D85" i="7"/>
  <c r="H85" i="7" s="1"/>
  <c r="D92" i="7"/>
  <c r="H92" i="7" s="1"/>
  <c r="D100" i="7"/>
  <c r="H100" i="7" s="1"/>
  <c r="D90" i="7"/>
  <c r="H90" i="7" s="1"/>
  <c r="D24" i="7"/>
  <c r="H24" i="7" s="1"/>
  <c r="D59" i="7"/>
  <c r="H59" i="7" s="1"/>
  <c r="D93" i="7"/>
  <c r="H93" i="7" s="1"/>
  <c r="D73" i="7"/>
  <c r="H73" i="7" s="1"/>
  <c r="D102" i="7"/>
  <c r="H102" i="7" s="1"/>
  <c r="D50" i="7"/>
  <c r="H50" i="7" s="1"/>
  <c r="D53" i="7"/>
  <c r="H53" i="7" s="1"/>
  <c r="D3" i="7"/>
  <c r="H3" i="7" s="1"/>
  <c r="D56" i="7"/>
  <c r="H56" i="7" s="1"/>
  <c r="D179" i="7"/>
  <c r="H179" i="7" s="1"/>
  <c r="D72" i="7"/>
  <c r="H72" i="7" s="1"/>
  <c r="D32" i="7"/>
  <c r="H32" i="7" s="1"/>
  <c r="D4" i="7"/>
  <c r="H4" i="7" s="1"/>
  <c r="D30" i="7"/>
  <c r="H30" i="7" s="1"/>
  <c r="D60" i="7"/>
  <c r="H60" i="7" s="1"/>
  <c r="D86" i="7"/>
  <c r="H86" i="7" s="1"/>
  <c r="D76" i="7"/>
  <c r="H76" i="7" s="1"/>
  <c r="D46" i="7"/>
  <c r="H46" i="7" s="1"/>
  <c r="D39" i="7"/>
  <c r="H39" i="7" s="1"/>
  <c r="C630" i="7"/>
  <c r="G630" i="7" s="1"/>
  <c r="C646" i="7"/>
  <c r="G646" i="7" s="1"/>
  <c r="C645" i="7"/>
  <c r="G645" i="7" s="1"/>
  <c r="C225" i="7"/>
  <c r="G225" i="7" s="1"/>
  <c r="C459" i="7"/>
  <c r="G459" i="7" s="1"/>
  <c r="C365" i="7"/>
  <c r="G365" i="7" s="1"/>
  <c r="C622" i="7"/>
  <c r="G622" i="7" s="1"/>
  <c r="C499" i="7"/>
  <c r="G499" i="7" s="1"/>
  <c r="C593" i="7"/>
  <c r="G593" i="7" s="1"/>
  <c r="C222" i="7"/>
  <c r="G222" i="7" s="1"/>
  <c r="C605" i="7"/>
  <c r="G605" i="7" s="1"/>
  <c r="C165" i="7"/>
  <c r="G165" i="7" s="1"/>
  <c r="C458" i="7"/>
  <c r="G458" i="7" s="1"/>
  <c r="C237" i="7"/>
  <c r="G237" i="7" s="1"/>
  <c r="C493" i="7"/>
  <c r="G493" i="7" s="1"/>
  <c r="C451" i="7"/>
  <c r="G451" i="7" s="1"/>
  <c r="C558" i="7"/>
  <c r="G558" i="7" s="1"/>
  <c r="C568" i="7"/>
  <c r="G568" i="7" s="1"/>
  <c r="C80" i="7"/>
  <c r="G80" i="7" s="1"/>
  <c r="C584" i="7"/>
  <c r="G584" i="7" s="1"/>
  <c r="C406" i="7"/>
  <c r="G406" i="7" s="1"/>
  <c r="C573" i="7"/>
  <c r="G573" i="7" s="1"/>
  <c r="C280" i="7"/>
  <c r="G280" i="7" s="1"/>
  <c r="C63" i="7"/>
  <c r="G63" i="7" s="1"/>
  <c r="C371" i="7"/>
  <c r="G371" i="7" s="1"/>
  <c r="C574" i="7"/>
  <c r="G574" i="7" s="1"/>
  <c r="C281" i="7"/>
  <c r="G281" i="7" s="1"/>
  <c r="C457" i="7"/>
  <c r="G457" i="7" s="1"/>
  <c r="C303" i="7"/>
  <c r="G303" i="7" s="1"/>
  <c r="C435" i="7"/>
  <c r="G435" i="7" s="1"/>
  <c r="C585" i="7"/>
  <c r="G585" i="7" s="1"/>
  <c r="C340" i="7"/>
  <c r="G340" i="7" s="1"/>
  <c r="C582" i="7"/>
  <c r="G582" i="7" s="1"/>
  <c r="C393" i="7"/>
  <c r="G393" i="7" s="1"/>
  <c r="C256" i="7"/>
  <c r="G256" i="7" s="1"/>
  <c r="C168" i="7"/>
  <c r="G168" i="7" s="1"/>
  <c r="C161" i="7"/>
  <c r="G161" i="7" s="1"/>
  <c r="C242" i="7"/>
  <c r="G242" i="7" s="1"/>
  <c r="C606" i="7"/>
  <c r="G606" i="7" s="1"/>
  <c r="C547" i="7"/>
  <c r="G547" i="7" s="1"/>
  <c r="C12" i="7"/>
  <c r="G12" i="7" s="1"/>
  <c r="C123" i="7"/>
  <c r="G123" i="7" s="1"/>
  <c r="C640" i="7"/>
  <c r="G640" i="7" s="1"/>
  <c r="C149" i="7"/>
  <c r="G149" i="7" s="1"/>
  <c r="C205" i="7"/>
  <c r="G205" i="7" s="1"/>
  <c r="C575" i="7"/>
  <c r="G575" i="7" s="1"/>
  <c r="C159" i="7"/>
  <c r="G159" i="7" s="1"/>
  <c r="C450" i="7"/>
  <c r="G450" i="7" s="1"/>
  <c r="C167" i="7"/>
  <c r="G167" i="7" s="1"/>
  <c r="C129" i="7"/>
  <c r="G129" i="7" s="1"/>
  <c r="C112" i="7"/>
  <c r="G112" i="7" s="1"/>
  <c r="C194" i="7"/>
  <c r="G194" i="7" s="1"/>
  <c r="C35" i="7"/>
  <c r="G35" i="7" s="1"/>
  <c r="C127" i="7"/>
  <c r="G127" i="7" s="1"/>
  <c r="C218" i="7"/>
  <c r="G218" i="7" s="1"/>
  <c r="C23" i="7"/>
  <c r="G23" i="7" s="1"/>
  <c r="C173" i="7"/>
  <c r="G173" i="7" s="1"/>
  <c r="C639" i="7"/>
  <c r="G639" i="7" s="1"/>
  <c r="C215" i="7"/>
  <c r="G215" i="7" s="1"/>
  <c r="C7" i="7"/>
  <c r="G7" i="7" s="1"/>
  <c r="C338" i="7"/>
  <c r="G338" i="7" s="1"/>
  <c r="C576" i="7"/>
  <c r="G576" i="7" s="1"/>
  <c r="C454" i="7"/>
  <c r="G454" i="7" s="1"/>
  <c r="C480" i="7"/>
  <c r="G480" i="7" s="1"/>
  <c r="C185" i="7"/>
  <c r="G185" i="7" s="1"/>
  <c r="C122" i="7"/>
  <c r="G122" i="7" s="1"/>
  <c r="C625" i="7"/>
  <c r="G625" i="7" s="1"/>
  <c r="C619" i="7"/>
  <c r="G619" i="7" s="1"/>
  <c r="C68" i="7"/>
  <c r="G68" i="7" s="1"/>
  <c r="C618" i="7"/>
  <c r="G618" i="7" s="1"/>
  <c r="C300" i="7"/>
  <c r="G300" i="7" s="1"/>
  <c r="C235" i="7"/>
  <c r="G235" i="7" s="1"/>
  <c r="C553" i="7"/>
  <c r="G553" i="7" s="1"/>
  <c r="C364" i="7"/>
  <c r="G364" i="7" s="1"/>
  <c r="C257" i="7"/>
  <c r="G257" i="7" s="1"/>
  <c r="C342" i="7"/>
  <c r="G342" i="7" s="1"/>
  <c r="C463" i="7"/>
  <c r="G463" i="7" s="1"/>
  <c r="C155" i="7"/>
  <c r="G155" i="7" s="1"/>
  <c r="C550" i="7"/>
  <c r="G550" i="7" s="1"/>
  <c r="C376" i="7"/>
  <c r="G376" i="7" s="1"/>
  <c r="C569" i="7"/>
  <c r="G569" i="7" s="1"/>
  <c r="C530" i="7"/>
  <c r="G530" i="7" s="1"/>
  <c r="C362" i="7"/>
  <c r="G362" i="7" s="1"/>
  <c r="C91" i="7"/>
  <c r="G91" i="7" s="1"/>
  <c r="C211" i="7"/>
  <c r="G211" i="7" s="1"/>
  <c r="C634" i="7"/>
  <c r="G634" i="7" s="1"/>
  <c r="C177" i="7"/>
  <c r="G177" i="7" s="1"/>
  <c r="C356" i="7"/>
  <c r="G356" i="7" s="1"/>
  <c r="C114" i="7"/>
  <c r="G114" i="7" s="1"/>
  <c r="C383" i="7"/>
  <c r="G383" i="7" s="1"/>
  <c r="C636" i="7"/>
  <c r="G636" i="7" s="1"/>
  <c r="C562" i="7"/>
  <c r="G562" i="7" s="1"/>
  <c r="C201" i="7"/>
  <c r="G201" i="7" s="1"/>
  <c r="C324" i="7"/>
  <c r="G324" i="7" s="1"/>
  <c r="C514" i="7"/>
  <c r="G514" i="7" s="1"/>
  <c r="C612" i="7"/>
  <c r="G612" i="7" s="1"/>
  <c r="C335" i="7"/>
  <c r="G335" i="7" s="1"/>
  <c r="C472" i="7"/>
  <c r="G472" i="7" s="1"/>
  <c r="C202" i="7"/>
  <c r="G202" i="7" s="1"/>
  <c r="C504" i="7"/>
  <c r="G504" i="7" s="1"/>
  <c r="C65" i="7"/>
  <c r="G65" i="7" s="1"/>
  <c r="C633" i="7"/>
  <c r="G633" i="7" s="1"/>
  <c r="C543" i="7"/>
  <c r="G543" i="7" s="1"/>
  <c r="C170" i="7"/>
  <c r="G170" i="7" s="1"/>
  <c r="C188" i="7"/>
  <c r="G188" i="7" s="1"/>
  <c r="C196" i="7"/>
  <c r="G196" i="7" s="1"/>
  <c r="C265" i="7"/>
  <c r="G265" i="7" s="1"/>
  <c r="C359" i="7"/>
  <c r="G359" i="7" s="1"/>
  <c r="C577" i="7"/>
  <c r="G577" i="7" s="1"/>
  <c r="C445" i="7"/>
  <c r="G445" i="7" s="1"/>
  <c r="C382" i="7"/>
  <c r="G382" i="7" s="1"/>
  <c r="C395" i="7"/>
  <c r="G395" i="7" s="1"/>
  <c r="C628" i="7"/>
  <c r="G628" i="7" s="1"/>
  <c r="C220" i="7"/>
  <c r="G220" i="7" s="1"/>
  <c r="C611" i="7"/>
  <c r="G611" i="7" s="1"/>
  <c r="C141" i="7"/>
  <c r="G141" i="7" s="1"/>
  <c r="C299" i="7"/>
  <c r="G299" i="7" s="1"/>
  <c r="C497" i="7"/>
  <c r="G497" i="7" s="1"/>
  <c r="C521" i="7"/>
  <c r="G521" i="7" s="1"/>
  <c r="C174" i="7"/>
  <c r="G174" i="7" s="1"/>
  <c r="C629" i="7"/>
  <c r="G629" i="7" s="1"/>
  <c r="C310" i="7"/>
  <c r="G310" i="7" s="1"/>
  <c r="C531" i="7"/>
  <c r="G531" i="7" s="1"/>
  <c r="C154" i="7"/>
  <c r="G154" i="7" s="1"/>
  <c r="C290" i="7"/>
  <c r="G290" i="7" s="1"/>
  <c r="C369" i="7"/>
  <c r="G369" i="7" s="1"/>
  <c r="C124" i="7"/>
  <c r="G124" i="7" s="1"/>
  <c r="C563" i="7"/>
  <c r="G563" i="7" s="1"/>
  <c r="C192" i="7"/>
  <c r="G192" i="7" s="1"/>
  <c r="C263" i="7"/>
  <c r="G263" i="7" s="1"/>
  <c r="C529" i="7"/>
  <c r="G529" i="7" s="1"/>
  <c r="C282" i="7"/>
  <c r="G282" i="7" s="1"/>
  <c r="C236" i="7"/>
  <c r="G236" i="7" s="1"/>
  <c r="C473" i="7"/>
  <c r="G473" i="7" s="1"/>
  <c r="C410" i="7"/>
  <c r="G410" i="7" s="1"/>
  <c r="C588" i="7"/>
  <c r="G588" i="7" s="1"/>
  <c r="C580" i="7"/>
  <c r="G580" i="7" s="1"/>
  <c r="C326" i="7"/>
  <c r="G326" i="7" s="1"/>
  <c r="C554" i="7"/>
  <c r="G554" i="7" s="1"/>
  <c r="C510" i="7"/>
  <c r="G510" i="7" s="1"/>
  <c r="C637" i="7"/>
  <c r="G637" i="7" s="1"/>
  <c r="C591" i="7"/>
  <c r="G591" i="7" s="1"/>
  <c r="C571" i="7"/>
  <c r="G571" i="7" s="1"/>
  <c r="C104" i="7"/>
  <c r="G104" i="7" s="1"/>
  <c r="C344" i="7"/>
  <c r="G344" i="7" s="1"/>
  <c r="C270" i="7"/>
  <c r="G270" i="7" s="1"/>
  <c r="C479" i="7"/>
  <c r="G479" i="7" s="1"/>
  <c r="C381" i="7"/>
  <c r="G381" i="7" s="1"/>
  <c r="C477" i="7"/>
  <c r="G477" i="7" s="1"/>
  <c r="C590" i="7"/>
  <c r="G590" i="7" s="1"/>
  <c r="C551" i="7"/>
  <c r="G551" i="7" s="1"/>
  <c r="C505" i="7"/>
  <c r="G505" i="7" s="1"/>
  <c r="C549" i="7"/>
  <c r="G549" i="7" s="1"/>
  <c r="C132" i="7"/>
  <c r="G132" i="7" s="1"/>
  <c r="C501" i="7"/>
  <c r="G501" i="7" s="1"/>
  <c r="C604" i="7"/>
  <c r="G604" i="7" s="1"/>
  <c r="C448" i="7"/>
  <c r="G448" i="7" s="1"/>
  <c r="C548" i="7"/>
  <c r="G548" i="7" s="1"/>
  <c r="C246" i="7"/>
  <c r="G246" i="7" s="1"/>
  <c r="C230" i="7"/>
  <c r="G230" i="7" s="1"/>
  <c r="C626" i="7"/>
  <c r="G626" i="7" s="1"/>
  <c r="C195" i="7"/>
  <c r="G195" i="7" s="1"/>
  <c r="C534" i="7"/>
  <c r="G534" i="7" s="1"/>
  <c r="C221" i="7"/>
  <c r="G221" i="7" s="1"/>
  <c r="C408" i="7"/>
  <c r="G408" i="7" s="1"/>
  <c r="C131" i="7"/>
  <c r="G131" i="7" s="1"/>
  <c r="C416" i="7"/>
  <c r="G416" i="7" s="1"/>
  <c r="C118" i="7"/>
  <c r="G118" i="7" s="1"/>
  <c r="C413" i="7"/>
  <c r="G413" i="7" s="1"/>
  <c r="C503" i="7"/>
  <c r="G503" i="7" s="1"/>
  <c r="C228" i="7"/>
  <c r="G228" i="7" s="1"/>
  <c r="C474" i="7"/>
  <c r="G474" i="7" s="1"/>
  <c r="C436" i="7"/>
  <c r="G436" i="7" s="1"/>
  <c r="C444" i="7"/>
  <c r="G444" i="7" s="1"/>
  <c r="C254" i="7"/>
  <c r="G254" i="7" s="1"/>
  <c r="C422" i="7"/>
  <c r="G422" i="7" s="1"/>
  <c r="C336" i="7"/>
  <c r="G336" i="7" s="1"/>
  <c r="C594" i="7"/>
  <c r="G594" i="7" s="1"/>
  <c r="C399" i="7"/>
  <c r="G399" i="7" s="1"/>
  <c r="C411" i="7"/>
  <c r="G411" i="7" s="1"/>
  <c r="C617" i="7"/>
  <c r="G617" i="7" s="1"/>
  <c r="C620" i="7"/>
  <c r="G620" i="7" s="1"/>
  <c r="C421" i="7"/>
  <c r="G421" i="7" s="1"/>
  <c r="C330" i="7"/>
  <c r="G330" i="7" s="1"/>
  <c r="C352" i="7"/>
  <c r="G352" i="7" s="1"/>
  <c r="C546" i="7"/>
  <c r="G546" i="7" s="1"/>
  <c r="C467" i="7"/>
  <c r="G467" i="7" s="1"/>
  <c r="C219" i="7"/>
  <c r="G219" i="7" s="1"/>
  <c r="C343" i="7"/>
  <c r="G343" i="7" s="1"/>
  <c r="C292" i="7"/>
  <c r="G292" i="7" s="1"/>
  <c r="C51" i="7"/>
  <c r="G51" i="7" s="1"/>
  <c r="C595" i="7"/>
  <c r="G595" i="7" s="1"/>
  <c r="C478" i="7"/>
  <c r="G478" i="7" s="1"/>
  <c r="C437" i="7"/>
  <c r="G437" i="7" s="1"/>
  <c r="C388" i="7"/>
  <c r="G388" i="7" s="1"/>
  <c r="C349" i="7"/>
  <c r="G349" i="7" s="1"/>
  <c r="C567" i="7"/>
  <c r="G567" i="7" s="1"/>
  <c r="C502" i="7"/>
  <c r="G502" i="7" s="1"/>
  <c r="C442" i="7"/>
  <c r="G442" i="7" s="1"/>
  <c r="C361" i="7"/>
  <c r="G361" i="7" s="1"/>
  <c r="C397" i="7"/>
  <c r="G397" i="7" s="1"/>
  <c r="C268" i="7"/>
  <c r="G268" i="7" s="1"/>
  <c r="C259" i="7"/>
  <c r="G259" i="7" s="1"/>
  <c r="C317" i="7"/>
  <c r="G317" i="7" s="1"/>
  <c r="C164" i="7"/>
  <c r="G164" i="7" s="1"/>
  <c r="C276" i="7"/>
  <c r="G276" i="7" s="1"/>
  <c r="C264" i="7"/>
  <c r="G264" i="7" s="1"/>
  <c r="C61" i="7"/>
  <c r="G61" i="7" s="1"/>
  <c r="C203" i="7"/>
  <c r="G203" i="7" s="1"/>
  <c r="C126" i="7"/>
  <c r="G126" i="7" s="1"/>
  <c r="C243" i="7"/>
  <c r="G243" i="7" s="1"/>
  <c r="C229" i="7"/>
  <c r="G229" i="7" s="1"/>
  <c r="C33" i="7"/>
  <c r="G33" i="7" s="1"/>
  <c r="C210" i="7"/>
  <c r="G210" i="7" s="1"/>
  <c r="C284" i="7"/>
  <c r="G284" i="7" s="1"/>
  <c r="C358" i="7"/>
  <c r="G358" i="7" s="1"/>
  <c r="C443" i="7"/>
  <c r="G443" i="7" s="1"/>
  <c r="C78" i="7"/>
  <c r="G78" i="7" s="1"/>
  <c r="C597" i="7"/>
  <c r="G597" i="7" s="1"/>
  <c r="C370" i="7"/>
  <c r="G370" i="7" s="1"/>
  <c r="C66" i="7"/>
  <c r="G66" i="7" s="1"/>
  <c r="C542" i="7"/>
  <c r="G542" i="7" s="1"/>
  <c r="C578" i="7"/>
  <c r="G578" i="7" s="1"/>
  <c r="C385" i="7"/>
  <c r="G385" i="7" s="1"/>
  <c r="C197" i="7"/>
  <c r="G197" i="7" s="1"/>
  <c r="C273" i="7"/>
  <c r="G273" i="7" s="1"/>
  <c r="C18" i="7"/>
  <c r="G18" i="7" s="1"/>
  <c r="C106" i="7"/>
  <c r="G106" i="7" s="1"/>
  <c r="C89" i="7"/>
  <c r="G89" i="7" s="1"/>
  <c r="C109" i="7"/>
  <c r="G109" i="7" s="1"/>
  <c r="C182" i="7"/>
  <c r="G182" i="7" s="1"/>
  <c r="C592" i="7"/>
  <c r="G592" i="7" s="1"/>
  <c r="C162" i="7"/>
  <c r="G162" i="7" s="1"/>
  <c r="C360" i="7"/>
  <c r="G360" i="7" s="1"/>
  <c r="C241" i="7"/>
  <c r="G241" i="7" s="1"/>
  <c r="C287" i="7"/>
  <c r="G287" i="7" s="1"/>
  <c r="C166" i="7"/>
  <c r="G166" i="7" s="1"/>
  <c r="C309" i="7"/>
  <c r="G309" i="7" s="1"/>
  <c r="C603" i="7"/>
  <c r="G603" i="7" s="1"/>
  <c r="C171" i="7"/>
  <c r="G171" i="7" s="1"/>
  <c r="C470" i="7"/>
  <c r="G470" i="7" s="1"/>
  <c r="C22" i="7"/>
  <c r="G22" i="7" s="1"/>
  <c r="C341" i="7"/>
  <c r="G341" i="7" s="1"/>
  <c r="C486" i="7"/>
  <c r="G486" i="7" s="1"/>
  <c r="C462" i="7"/>
  <c r="G462" i="7" s="1"/>
  <c r="C74" i="7"/>
  <c r="G74" i="7" s="1"/>
  <c r="C327" i="7"/>
  <c r="G327" i="7" s="1"/>
  <c r="C180" i="7"/>
  <c r="G180" i="7" s="1"/>
  <c r="C509" i="7"/>
  <c r="G509" i="7" s="1"/>
  <c r="C298" i="7"/>
  <c r="G298" i="7" s="1"/>
  <c r="C245" i="7"/>
  <c r="G245" i="7" s="1"/>
  <c r="C438" i="7"/>
  <c r="G438" i="7" s="1"/>
  <c r="C49" i="7"/>
  <c r="G49" i="7" s="1"/>
  <c r="C163" i="7"/>
  <c r="G163" i="7" s="1"/>
  <c r="C372" i="7"/>
  <c r="G372" i="7" s="1"/>
  <c r="C312" i="7"/>
  <c r="G312" i="7" s="1"/>
  <c r="C615" i="7"/>
  <c r="G615" i="7" s="1"/>
  <c r="C189" i="7"/>
  <c r="G189" i="7" s="1"/>
  <c r="C441" i="7"/>
  <c r="G441" i="7" s="1"/>
  <c r="C232" i="7"/>
  <c r="G232" i="7" s="1"/>
  <c r="C537" i="7"/>
  <c r="G537" i="7" s="1"/>
  <c r="C279" i="7"/>
  <c r="G279" i="7" s="1"/>
  <c r="C353" i="7"/>
  <c r="G353" i="7" s="1"/>
  <c r="C116" i="7"/>
  <c r="G116" i="7" s="1"/>
  <c r="C307" i="7"/>
  <c r="G307" i="7" s="1"/>
  <c r="C539" i="7"/>
  <c r="G539" i="7" s="1"/>
  <c r="C613" i="7"/>
  <c r="G613" i="7" s="1"/>
  <c r="C140" i="7"/>
  <c r="G140" i="7" s="1"/>
  <c r="C286" i="7"/>
  <c r="G286" i="7" s="1"/>
  <c r="C13" i="7"/>
  <c r="G13" i="7" s="1"/>
  <c r="C520" i="7"/>
  <c r="G520" i="7" s="1"/>
  <c r="C153" i="7"/>
  <c r="G153" i="7" s="1"/>
  <c r="C434" i="7"/>
  <c r="G434" i="7" s="1"/>
  <c r="C401" i="7"/>
  <c r="G401" i="7" s="1"/>
  <c r="C36" i="7"/>
  <c r="G36" i="7" s="1"/>
  <c r="C366" i="7"/>
  <c r="G366" i="7" s="1"/>
  <c r="C601" i="7"/>
  <c r="G601" i="7" s="1"/>
  <c r="C187" i="7"/>
  <c r="G187" i="7" s="1"/>
  <c r="C415" i="7"/>
  <c r="G415" i="7" s="1"/>
  <c r="C231" i="7"/>
  <c r="G231" i="7" s="1"/>
  <c r="C641" i="7"/>
  <c r="G641" i="7" s="1"/>
  <c r="C522" i="7"/>
  <c r="G522" i="7" s="1"/>
  <c r="C495" i="7"/>
  <c r="G495" i="7" s="1"/>
  <c r="C262" i="7"/>
  <c r="G262" i="7" s="1"/>
  <c r="C176" i="7"/>
  <c r="G176" i="7" s="1"/>
  <c r="C318" i="7"/>
  <c r="G318" i="7" s="1"/>
  <c r="C348" i="7"/>
  <c r="G348" i="7" s="1"/>
  <c r="C475" i="7"/>
  <c r="G475" i="7" s="1"/>
  <c r="C288" i="7"/>
  <c r="G288" i="7" s="1"/>
  <c r="C541" i="7"/>
  <c r="G541" i="7" s="1"/>
  <c r="C38" i="7"/>
  <c r="G38" i="7" s="1"/>
  <c r="C208" i="7"/>
  <c r="G208" i="7" s="1"/>
  <c r="C135" i="7"/>
  <c r="G135" i="7" s="1"/>
  <c r="C455" i="7"/>
  <c r="G455" i="7" s="1"/>
  <c r="C373" i="7"/>
  <c r="G373" i="7" s="1"/>
  <c r="C600" i="7"/>
  <c r="G600" i="7" s="1"/>
  <c r="C172" i="7"/>
  <c r="G172" i="7" s="1"/>
  <c r="C200" i="7"/>
  <c r="G200" i="7" s="1"/>
  <c r="C632" i="7"/>
  <c r="G632" i="7" s="1"/>
  <c r="C267" i="7"/>
  <c r="G267" i="7" s="1"/>
  <c r="C5" i="7"/>
  <c r="G5" i="7" s="1"/>
  <c r="C331" i="7"/>
  <c r="G331" i="7" s="1"/>
  <c r="C387" i="7"/>
  <c r="G387" i="7" s="1"/>
  <c r="C295" i="7"/>
  <c r="G295" i="7" s="1"/>
  <c r="C596" i="7"/>
  <c r="G596" i="7" s="1"/>
  <c r="C193" i="7"/>
  <c r="G193" i="7" s="1"/>
  <c r="C420" i="7"/>
  <c r="G420" i="7" s="1"/>
  <c r="C485" i="7"/>
  <c r="G485" i="7" s="1"/>
  <c r="C204" i="7"/>
  <c r="G204" i="7" s="1"/>
  <c r="C186" i="7"/>
  <c r="G186" i="7" s="1"/>
  <c r="C570" i="7"/>
  <c r="G570" i="7" s="1"/>
  <c r="C524" i="7"/>
  <c r="G524" i="7" s="1"/>
  <c r="C40" i="7"/>
  <c r="G40" i="7" s="1"/>
  <c r="C351" i="7"/>
  <c r="G351" i="7" s="1"/>
  <c r="C247" i="7"/>
  <c r="G247" i="7" s="1"/>
  <c r="C301" i="7"/>
  <c r="G301" i="7" s="1"/>
  <c r="C54" i="7"/>
  <c r="G54" i="7" s="1"/>
  <c r="C481" i="7"/>
  <c r="G481" i="7" s="1"/>
  <c r="C511" i="7"/>
  <c r="G511" i="7" s="1"/>
  <c r="C320" i="7"/>
  <c r="G320" i="7" s="1"/>
  <c r="C484" i="7"/>
  <c r="G484" i="7" s="1"/>
  <c r="C278" i="7"/>
  <c r="G278" i="7" s="1"/>
  <c r="C334" i="7"/>
  <c r="G334" i="7" s="1"/>
  <c r="C379" i="7"/>
  <c r="G379" i="7" s="1"/>
  <c r="C255" i="7"/>
  <c r="G255" i="7" s="1"/>
  <c r="C293" i="7"/>
  <c r="G293" i="7" s="1"/>
  <c r="C70" i="7"/>
  <c r="G70" i="7" s="1"/>
  <c r="C368" i="7"/>
  <c r="G368" i="7" s="1"/>
  <c r="C120" i="7"/>
  <c r="G120" i="7" s="1"/>
  <c r="C137" i="7"/>
  <c r="G137" i="7" s="1"/>
  <c r="C227" i="7"/>
  <c r="G227" i="7" s="1"/>
  <c r="C95" i="7"/>
  <c r="G95" i="7" s="1"/>
  <c r="C456" i="7"/>
  <c r="G456" i="7" s="1"/>
  <c r="C217" i="7"/>
  <c r="G217" i="7" s="1"/>
  <c r="C125" i="7"/>
  <c r="G125" i="7" s="1"/>
  <c r="C175" i="7"/>
  <c r="G175" i="7" s="1"/>
  <c r="C313" i="7"/>
  <c r="G313" i="7" s="1"/>
  <c r="C579" i="7"/>
  <c r="G579" i="7" s="1"/>
  <c r="C599" i="7"/>
  <c r="G599" i="7" s="1"/>
  <c r="C417" i="7"/>
  <c r="G417" i="7" s="1"/>
  <c r="C8" i="7"/>
  <c r="G8" i="7" s="1"/>
  <c r="C608" i="7"/>
  <c r="G608" i="7" s="1"/>
  <c r="C16" i="7"/>
  <c r="G16" i="7" s="1"/>
  <c r="C296" i="7"/>
  <c r="G296" i="7" s="1"/>
  <c r="C111" i="7"/>
  <c r="G111" i="7" s="1"/>
  <c r="C105" i="7"/>
  <c r="G105" i="7" s="1"/>
  <c r="C121" i="7"/>
  <c r="G121" i="7" s="1"/>
  <c r="C226" i="7"/>
  <c r="G226" i="7" s="1"/>
  <c r="C213" i="7"/>
  <c r="G213" i="7" s="1"/>
  <c r="C518" i="7"/>
  <c r="G518" i="7" s="1"/>
  <c r="C400" i="7"/>
  <c r="G400" i="7" s="1"/>
  <c r="C157" i="7"/>
  <c r="G157" i="7" s="1"/>
  <c r="C142" i="7"/>
  <c r="G142" i="7" s="1"/>
  <c r="C589" i="7"/>
  <c r="G589" i="7" s="1"/>
  <c r="C52" i="7"/>
  <c r="G52" i="7" s="1"/>
  <c r="C2" i="7"/>
  <c r="G2" i="7" s="1"/>
  <c r="C440" i="7"/>
  <c r="G440" i="7" s="1"/>
  <c r="C506" i="7"/>
  <c r="G506" i="7" s="1"/>
  <c r="C289" i="7"/>
  <c r="G289" i="7" s="1"/>
  <c r="C409" i="7"/>
  <c r="G409" i="7" s="1"/>
  <c r="C532" i="7"/>
  <c r="G532" i="7" s="1"/>
  <c r="C407" i="7"/>
  <c r="G407" i="7" s="1"/>
  <c r="C319" i="7"/>
  <c r="G319" i="7" s="1"/>
  <c r="C266" i="7"/>
  <c r="G266" i="7" s="1"/>
  <c r="C465" i="7"/>
  <c r="G465" i="7" s="1"/>
  <c r="C156" i="7"/>
  <c r="G156" i="7" s="1"/>
  <c r="C133" i="7"/>
  <c r="G133" i="7" s="1"/>
  <c r="C621" i="7"/>
  <c r="G621" i="7" s="1"/>
  <c r="C528" i="7"/>
  <c r="G528" i="7" s="1"/>
  <c r="C322" i="7"/>
  <c r="G322" i="7" s="1"/>
  <c r="C269" i="7"/>
  <c r="G269" i="7" s="1"/>
  <c r="C311" i="7"/>
  <c r="G311" i="7" s="1"/>
  <c r="C20" i="7"/>
  <c r="G20" i="7" s="1"/>
  <c r="C183" i="7"/>
  <c r="G183" i="7" s="1"/>
  <c r="C258" i="7"/>
  <c r="G258" i="7" s="1"/>
  <c r="C25" i="7"/>
  <c r="G25" i="7" s="1"/>
  <c r="C19" i="7"/>
  <c r="G19" i="7" s="1"/>
  <c r="C21" i="7"/>
  <c r="G21" i="7" s="1"/>
  <c r="C107" i="7"/>
  <c r="G107" i="7" s="1"/>
  <c r="C71" i="7"/>
  <c r="G71" i="7" s="1"/>
  <c r="C17" i="7"/>
  <c r="G17" i="7" s="1"/>
  <c r="C6" i="7"/>
  <c r="G6" i="7" s="1"/>
  <c r="C45" i="7"/>
  <c r="G45" i="7" s="1"/>
  <c r="C57" i="7"/>
  <c r="G57" i="7" s="1"/>
  <c r="C98" i="7"/>
  <c r="G98" i="7" s="1"/>
  <c r="C27" i="7"/>
  <c r="G27" i="7" s="1"/>
  <c r="C117" i="7"/>
  <c r="G117" i="7" s="1"/>
  <c r="C28" i="7"/>
  <c r="G28" i="7" s="1"/>
  <c r="C82" i="7"/>
  <c r="G82" i="7" s="1"/>
  <c r="C84" i="7"/>
  <c r="G84" i="7" s="1"/>
  <c r="C69" i="7"/>
  <c r="G69" i="7" s="1"/>
  <c r="C14" i="7"/>
  <c r="G14" i="7" s="1"/>
  <c r="C94" i="7"/>
  <c r="G94" i="7" s="1"/>
  <c r="C97" i="7"/>
  <c r="G97" i="7" s="1"/>
  <c r="C44" i="7"/>
  <c r="G44" i="7" s="1"/>
  <c r="C88" i="7"/>
  <c r="G88" i="7" s="1"/>
  <c r="C48" i="7"/>
  <c r="G48" i="7" s="1"/>
  <c r="C41" i="7"/>
  <c r="G41" i="7" s="1"/>
  <c r="C75" i="7"/>
  <c r="G75" i="7" s="1"/>
  <c r="C83" i="7"/>
  <c r="G83" i="7" s="1"/>
  <c r="C31" i="7"/>
  <c r="G31" i="7" s="1"/>
  <c r="C81" i="7"/>
  <c r="G81" i="7" s="1"/>
  <c r="C62" i="7"/>
  <c r="G62" i="7" s="1"/>
  <c r="C58" i="7"/>
  <c r="G58" i="7" s="1"/>
  <c r="C101" i="7"/>
  <c r="G101" i="7" s="1"/>
  <c r="C11" i="7"/>
  <c r="G11" i="7" s="1"/>
  <c r="C79" i="7"/>
  <c r="G79" i="7" s="1"/>
  <c r="C77" i="7"/>
  <c r="G77" i="7" s="1"/>
  <c r="C139" i="7"/>
  <c r="G139" i="7" s="1"/>
  <c r="C42" i="7"/>
  <c r="G42" i="7" s="1"/>
  <c r="C10" i="7"/>
  <c r="G10" i="7" s="1"/>
  <c r="C37" i="7"/>
  <c r="G37" i="7" s="1"/>
  <c r="C29" i="7"/>
  <c r="G29" i="7" s="1"/>
  <c r="C47" i="7"/>
  <c r="G47" i="7" s="1"/>
  <c r="C99" i="7"/>
  <c r="G99" i="7" s="1"/>
  <c r="C67" i="7"/>
  <c r="G67" i="7" s="1"/>
  <c r="C85" i="7"/>
  <c r="G85" i="7" s="1"/>
  <c r="C92" i="7"/>
  <c r="G92" i="7" s="1"/>
  <c r="C100" i="7"/>
  <c r="G100" i="7" s="1"/>
  <c r="C90" i="7"/>
  <c r="G90" i="7" s="1"/>
  <c r="C24" i="7"/>
  <c r="G24" i="7" s="1"/>
  <c r="C59" i="7"/>
  <c r="G59" i="7" s="1"/>
  <c r="C93" i="7"/>
  <c r="G93" i="7" s="1"/>
  <c r="C73" i="7"/>
  <c r="G73" i="7" s="1"/>
  <c r="C102" i="7"/>
  <c r="G102" i="7" s="1"/>
  <c r="C50" i="7"/>
  <c r="G50" i="7" s="1"/>
  <c r="C53" i="7"/>
  <c r="G53" i="7" s="1"/>
  <c r="C3" i="7"/>
  <c r="G3" i="7" s="1"/>
  <c r="C56" i="7"/>
  <c r="G56" i="7" s="1"/>
  <c r="C179" i="7"/>
  <c r="G179" i="7" s="1"/>
  <c r="C72" i="7"/>
  <c r="G72" i="7" s="1"/>
  <c r="C32" i="7"/>
  <c r="G32" i="7" s="1"/>
  <c r="C4" i="7"/>
  <c r="G4" i="7" s="1"/>
  <c r="C30" i="7"/>
  <c r="G30" i="7" s="1"/>
  <c r="C60" i="7"/>
  <c r="G60" i="7" s="1"/>
  <c r="C86" i="7"/>
  <c r="G86" i="7" s="1"/>
  <c r="C76" i="7"/>
  <c r="G76" i="7" s="1"/>
  <c r="C46" i="7"/>
  <c r="G46" i="7" s="1"/>
  <c r="C39" i="7"/>
  <c r="G39" i="7" s="1"/>
  <c r="C113" i="9" l="1"/>
  <c r="C26" i="10"/>
  <c r="C42" i="10"/>
  <c r="C58" i="10"/>
  <c r="C74" i="10"/>
  <c r="C90" i="10"/>
  <c r="C106" i="10"/>
  <c r="C122" i="10"/>
  <c r="C138" i="10"/>
  <c r="C154" i="10"/>
  <c r="C170" i="10"/>
  <c r="C186" i="10"/>
  <c r="C202" i="10"/>
  <c r="C34" i="11"/>
  <c r="C50" i="11"/>
  <c r="C66" i="11"/>
  <c r="C82" i="11"/>
  <c r="C98" i="11"/>
  <c r="C114" i="11"/>
  <c r="C130" i="11"/>
  <c r="C146" i="11"/>
  <c r="C162" i="11"/>
  <c r="C178" i="11"/>
  <c r="C194" i="11"/>
  <c r="C207" i="11"/>
  <c r="C223" i="11"/>
  <c r="C134" i="9"/>
  <c r="C27" i="10"/>
  <c r="C43" i="10"/>
  <c r="C59" i="10"/>
  <c r="C75" i="10"/>
  <c r="C91" i="10"/>
  <c r="C107" i="10"/>
  <c r="C123" i="10"/>
  <c r="C139" i="10"/>
  <c r="C155" i="10"/>
  <c r="C171" i="10"/>
  <c r="C187" i="10"/>
  <c r="C19" i="11"/>
  <c r="C35" i="11"/>
  <c r="C51" i="11"/>
  <c r="C67" i="11"/>
  <c r="C83" i="11"/>
  <c r="C99" i="11"/>
  <c r="C115" i="11"/>
  <c r="C131" i="11"/>
  <c r="C147" i="11"/>
  <c r="C163" i="11"/>
  <c r="C179" i="11"/>
  <c r="C195" i="11"/>
  <c r="C208" i="11"/>
  <c r="C224" i="11"/>
  <c r="C145" i="9"/>
  <c r="C28" i="10"/>
  <c r="C44" i="10"/>
  <c r="C60" i="10"/>
  <c r="C76" i="10"/>
  <c r="C92" i="10"/>
  <c r="C108" i="10"/>
  <c r="C124" i="10"/>
  <c r="C140" i="10"/>
  <c r="C156" i="10"/>
  <c r="C172" i="10"/>
  <c r="C188" i="10"/>
  <c r="E188" i="10" s="1"/>
  <c r="C20" i="11"/>
  <c r="C36" i="11"/>
  <c r="C52" i="11"/>
  <c r="C68" i="11"/>
  <c r="C84" i="11"/>
  <c r="C100" i="11"/>
  <c r="C116" i="11"/>
  <c r="C132" i="11"/>
  <c r="C148" i="11"/>
  <c r="C164" i="11"/>
  <c r="C180" i="11"/>
  <c r="C196" i="11"/>
  <c r="C209" i="11"/>
  <c r="C225" i="11"/>
  <c r="C159" i="9"/>
  <c r="C29" i="10"/>
  <c r="E29" i="10" s="1"/>
  <c r="C45" i="10"/>
  <c r="C61" i="10"/>
  <c r="C77" i="10"/>
  <c r="C93" i="10"/>
  <c r="C109" i="10"/>
  <c r="C125" i="10"/>
  <c r="C141" i="10"/>
  <c r="C157" i="10"/>
  <c r="C173" i="10"/>
  <c r="C189" i="10"/>
  <c r="C21" i="11"/>
  <c r="C37" i="11"/>
  <c r="C53" i="11"/>
  <c r="C69" i="11"/>
  <c r="C85" i="11"/>
  <c r="C101" i="11"/>
  <c r="C117" i="11"/>
  <c r="C133" i="11"/>
  <c r="C149" i="11"/>
  <c r="C165" i="11"/>
  <c r="C181" i="11"/>
  <c r="C197" i="11"/>
  <c r="C210" i="11"/>
  <c r="C226" i="11"/>
  <c r="C22" i="11"/>
  <c r="C38" i="11"/>
  <c r="C54" i="11"/>
  <c r="C70" i="11"/>
  <c r="C86" i="11"/>
  <c r="C102" i="11"/>
  <c r="C118" i="11"/>
  <c r="C134" i="11"/>
  <c r="C150" i="11"/>
  <c r="C166" i="11"/>
  <c r="C182" i="11"/>
  <c r="C198" i="11"/>
  <c r="C211" i="11"/>
  <c r="C227" i="11"/>
  <c r="C189" i="9"/>
  <c r="C31" i="10"/>
  <c r="C47" i="10"/>
  <c r="C63" i="10"/>
  <c r="C79" i="10"/>
  <c r="C95" i="10"/>
  <c r="C111" i="10"/>
  <c r="C127" i="10"/>
  <c r="C143" i="10"/>
  <c r="C159" i="10"/>
  <c r="C175" i="10"/>
  <c r="C191" i="10"/>
  <c r="C23" i="11"/>
  <c r="C39" i="11"/>
  <c r="C55" i="11"/>
  <c r="C71" i="11"/>
  <c r="C87" i="11"/>
  <c r="C103" i="11"/>
  <c r="C119" i="11"/>
  <c r="C135" i="11"/>
  <c r="C151" i="11"/>
  <c r="C167" i="11"/>
  <c r="C183" i="11"/>
  <c r="C199" i="11"/>
  <c r="C212" i="11"/>
  <c r="C228" i="11"/>
  <c r="E228" i="11" s="1"/>
  <c r="F505" i="12" s="1"/>
  <c r="C204" i="9"/>
  <c r="C32" i="10"/>
  <c r="C48" i="10"/>
  <c r="C64" i="10"/>
  <c r="C80" i="10"/>
  <c r="C96" i="10"/>
  <c r="C112" i="10"/>
  <c r="C128" i="10"/>
  <c r="C144" i="10"/>
  <c r="C160" i="10"/>
  <c r="C176" i="10"/>
  <c r="C192" i="10"/>
  <c r="C24" i="11"/>
  <c r="C40" i="11"/>
  <c r="C56" i="11"/>
  <c r="C72" i="11"/>
  <c r="C88" i="11"/>
  <c r="C104" i="11"/>
  <c r="C120" i="11"/>
  <c r="C136" i="11"/>
  <c r="C152" i="11"/>
  <c r="C168" i="11"/>
  <c r="C184" i="11"/>
  <c r="C200" i="11"/>
  <c r="C213" i="11"/>
  <c r="C229" i="11"/>
  <c r="C33" i="10"/>
  <c r="C49" i="10"/>
  <c r="C65" i="10"/>
  <c r="C81" i="10"/>
  <c r="C97" i="10"/>
  <c r="C113" i="10"/>
  <c r="C129" i="10"/>
  <c r="C145" i="10"/>
  <c r="C161" i="10"/>
  <c r="C177" i="10"/>
  <c r="C193" i="10"/>
  <c r="C25" i="11"/>
  <c r="C41" i="11"/>
  <c r="C57" i="11"/>
  <c r="C73" i="11"/>
  <c r="C89" i="11"/>
  <c r="C105" i="11"/>
  <c r="C121" i="11"/>
  <c r="C137" i="11"/>
  <c r="C153" i="11"/>
  <c r="C169" i="11"/>
  <c r="C185" i="11"/>
  <c r="C201" i="11"/>
  <c r="C214" i="11"/>
  <c r="C230" i="11"/>
  <c r="C34" i="10"/>
  <c r="C50" i="10"/>
  <c r="C66" i="10"/>
  <c r="C82" i="10"/>
  <c r="C98" i="10"/>
  <c r="C114" i="10"/>
  <c r="C130" i="10"/>
  <c r="C146" i="10"/>
  <c r="C162" i="10"/>
  <c r="C178" i="10"/>
  <c r="C194" i="10"/>
  <c r="C26" i="11"/>
  <c r="C42" i="11"/>
  <c r="C58" i="11"/>
  <c r="C74" i="11"/>
  <c r="C90" i="11"/>
  <c r="C106" i="11"/>
  <c r="C122" i="11"/>
  <c r="C138" i="11"/>
  <c r="C154" i="11"/>
  <c r="C170" i="11"/>
  <c r="C186" i="11"/>
  <c r="C202" i="11"/>
  <c r="C215" i="11"/>
  <c r="C231" i="11"/>
  <c r="C27" i="11"/>
  <c r="C43" i="11"/>
  <c r="C59" i="11"/>
  <c r="C75" i="11"/>
  <c r="C91" i="11"/>
  <c r="C107" i="11"/>
  <c r="C123" i="11"/>
  <c r="C139" i="11"/>
  <c r="C155" i="11"/>
  <c r="C171" i="11"/>
  <c r="C187" i="11"/>
  <c r="C216" i="11"/>
  <c r="C232" i="11"/>
  <c r="C217" i="11"/>
  <c r="C233" i="11"/>
  <c r="C21" i="10"/>
  <c r="C37" i="10"/>
  <c r="C53" i="10"/>
  <c r="C69" i="10"/>
  <c r="C85" i="10"/>
  <c r="C101" i="10"/>
  <c r="C117" i="10"/>
  <c r="C133" i="10"/>
  <c r="C149" i="10"/>
  <c r="C165" i="10"/>
  <c r="C181" i="10"/>
  <c r="C197" i="10"/>
  <c r="C29" i="11"/>
  <c r="C45" i="11"/>
  <c r="C61" i="11"/>
  <c r="C77" i="11"/>
  <c r="C93" i="11"/>
  <c r="C109" i="11"/>
  <c r="C125" i="11"/>
  <c r="C141" i="11"/>
  <c r="C157" i="11"/>
  <c r="C173" i="11"/>
  <c r="C189" i="11"/>
  <c r="C237" i="11"/>
  <c r="C218" i="11"/>
  <c r="C234" i="11"/>
  <c r="C21" i="9"/>
  <c r="C22" i="10"/>
  <c r="C38" i="10"/>
  <c r="E38" i="10" s="1"/>
  <c r="F123" i="12" s="1"/>
  <c r="C54" i="10"/>
  <c r="C70" i="10"/>
  <c r="C86" i="10"/>
  <c r="C102" i="10"/>
  <c r="C118" i="10"/>
  <c r="C134" i="10"/>
  <c r="C150" i="10"/>
  <c r="C166" i="10"/>
  <c r="C182" i="10"/>
  <c r="C198" i="10"/>
  <c r="C30" i="11"/>
  <c r="C46" i="11"/>
  <c r="C62" i="11"/>
  <c r="C78" i="11"/>
  <c r="C94" i="11"/>
  <c r="C110" i="11"/>
  <c r="C126" i="11"/>
  <c r="C142" i="11"/>
  <c r="C158" i="11"/>
  <c r="C174" i="11"/>
  <c r="C190" i="11"/>
  <c r="C203" i="11"/>
  <c r="C219" i="11"/>
  <c r="C235" i="11"/>
  <c r="C43" i="9"/>
  <c r="C23" i="10"/>
  <c r="C39" i="10"/>
  <c r="C55" i="10"/>
  <c r="C71" i="10"/>
  <c r="C87" i="10"/>
  <c r="C103" i="10"/>
  <c r="C119" i="10"/>
  <c r="E119" i="10" s="1"/>
  <c r="C135" i="10"/>
  <c r="C151" i="10"/>
  <c r="C167" i="10"/>
  <c r="C183" i="10"/>
  <c r="C199" i="10"/>
  <c r="C31" i="11"/>
  <c r="C47" i="11"/>
  <c r="C63" i="11"/>
  <c r="C79" i="11"/>
  <c r="C95" i="11"/>
  <c r="C111" i="11"/>
  <c r="C127" i="11"/>
  <c r="C143" i="11"/>
  <c r="C159" i="11"/>
  <c r="C175" i="11"/>
  <c r="C191" i="11"/>
  <c r="C204" i="11"/>
  <c r="C220" i="11"/>
  <c r="C236" i="11"/>
  <c r="C74" i="9"/>
  <c r="C32" i="11"/>
  <c r="C48" i="11"/>
  <c r="C64" i="11"/>
  <c r="C80" i="11"/>
  <c r="C96" i="11"/>
  <c r="C112" i="11"/>
  <c r="C128" i="11"/>
  <c r="C144" i="11"/>
  <c r="C160" i="11"/>
  <c r="C176" i="11"/>
  <c r="C192" i="11"/>
  <c r="C205" i="11"/>
  <c r="E205" i="11" s="1"/>
  <c r="F438" i="12" s="1"/>
  <c r="C221" i="11"/>
  <c r="E81" i="10"/>
  <c r="F337" i="12" s="1"/>
  <c r="E97" i="10"/>
  <c r="F408" i="12" s="1"/>
  <c r="E193" i="10"/>
  <c r="F628" i="12" s="1"/>
  <c r="E51" i="10"/>
  <c r="F170" i="12" s="1"/>
  <c r="E83" i="10"/>
  <c r="E131" i="10"/>
  <c r="F511" i="12" s="1"/>
  <c r="E163" i="10"/>
  <c r="F573" i="12" s="1"/>
  <c r="E179" i="10"/>
  <c r="E94" i="10"/>
  <c r="E60" i="10"/>
  <c r="E95" i="10"/>
  <c r="E143" i="10"/>
  <c r="E212" i="11"/>
  <c r="F452" i="12" s="1"/>
  <c r="E36" i="10"/>
  <c r="F120" i="12" s="1"/>
  <c r="E142" i="10"/>
  <c r="E174" i="10"/>
  <c r="E190" i="10"/>
  <c r="F623" i="12" s="1"/>
  <c r="E226" i="11"/>
  <c r="F494" i="12" s="1"/>
  <c r="E116" i="10"/>
  <c r="E132" i="10"/>
  <c r="F516" i="12" s="1"/>
  <c r="E237" i="11"/>
  <c r="F551" i="12" s="1"/>
  <c r="E161" i="10"/>
  <c r="F567" i="12" s="1"/>
  <c r="E176" i="10"/>
  <c r="F604" i="12" s="1"/>
  <c r="E227" i="11"/>
  <c r="F499" i="12" s="1"/>
  <c r="E229" i="11"/>
  <c r="F506" i="12" s="1"/>
  <c r="E230" i="11"/>
  <c r="F512" i="12" s="1"/>
  <c r="E215" i="11"/>
  <c r="F460" i="12" s="1"/>
  <c r="E74" i="10"/>
  <c r="F258" i="12" s="1"/>
  <c r="E165" i="10"/>
  <c r="F577" i="12" s="1"/>
  <c r="E216" i="11"/>
  <c r="F464" i="12" s="1"/>
  <c r="E75" i="10"/>
  <c r="E120" i="10"/>
  <c r="E217" i="11"/>
  <c r="F465" i="12" s="1"/>
  <c r="E233" i="11"/>
  <c r="F532" i="12" s="1"/>
  <c r="E91" i="10"/>
  <c r="E106" i="10"/>
  <c r="E121" i="10"/>
  <c r="E218" i="11"/>
  <c r="F467" i="12" s="1"/>
  <c r="E48" i="10"/>
  <c r="F159" i="12" s="1"/>
  <c r="E77" i="10"/>
  <c r="F280" i="12" s="1"/>
  <c r="E107" i="10"/>
  <c r="E153" i="10"/>
  <c r="F556" i="12" s="1"/>
  <c r="E219" i="11"/>
  <c r="F471" i="12" s="1"/>
  <c r="E62" i="10"/>
  <c r="E123" i="10"/>
  <c r="E201" i="10"/>
  <c r="F646" i="12" s="1"/>
  <c r="E33" i="11"/>
  <c r="F85" i="12" s="1"/>
  <c r="E49" i="11"/>
  <c r="F115" i="12" s="1"/>
  <c r="E65" i="11"/>
  <c r="F178" i="12" s="1"/>
  <c r="E81" i="11"/>
  <c r="F205" i="12" s="1"/>
  <c r="E97" i="11"/>
  <c r="F231" i="12" s="1"/>
  <c r="E113" i="11"/>
  <c r="F261" i="12" s="1"/>
  <c r="E220" i="11"/>
  <c r="F482" i="12" s="1"/>
  <c r="E63" i="10"/>
  <c r="E108" i="10"/>
  <c r="F455" i="12" s="1"/>
  <c r="E155" i="10"/>
  <c r="E221" i="11"/>
  <c r="F487" i="12" s="1"/>
  <c r="E206" i="11"/>
  <c r="F441" i="12" s="1"/>
  <c r="E222" i="11"/>
  <c r="F488" i="12" s="1"/>
  <c r="E207" i="11"/>
  <c r="F442" i="12" s="1"/>
  <c r="E37" i="10"/>
  <c r="F121" i="12" s="1"/>
  <c r="E111" i="10"/>
  <c r="E173" i="10"/>
  <c r="E208" i="11"/>
  <c r="F446" i="12" s="1"/>
  <c r="E224" i="11"/>
  <c r="E129" i="10"/>
  <c r="E175" i="10"/>
  <c r="E191" i="10"/>
  <c r="F624" i="12" s="1"/>
  <c r="E28" i="10"/>
  <c r="F97" i="12" s="1"/>
  <c r="E43" i="10"/>
  <c r="E96" i="10"/>
  <c r="E110" i="10"/>
  <c r="E126" i="10"/>
  <c r="F492" i="12" s="1"/>
  <c r="E164" i="10"/>
  <c r="E178" i="10"/>
  <c r="F609" i="12" s="1"/>
  <c r="E192" i="10"/>
  <c r="F625" i="12" s="1"/>
  <c r="E45" i="10"/>
  <c r="E70" i="10"/>
  <c r="F240" i="12" s="1"/>
  <c r="E84" i="10"/>
  <c r="E98" i="10"/>
  <c r="E154" i="10"/>
  <c r="E194" i="10"/>
  <c r="F630" i="12" s="1"/>
  <c r="E31" i="10"/>
  <c r="F103" i="12" s="1"/>
  <c r="E71" i="10"/>
  <c r="E99" i="10"/>
  <c r="F417" i="12" s="1"/>
  <c r="E141" i="10"/>
  <c r="E195" i="10"/>
  <c r="F631" i="12" s="1"/>
  <c r="E59" i="10"/>
  <c r="E86" i="10"/>
  <c r="F376" i="12" s="1"/>
  <c r="E100" i="10"/>
  <c r="E168" i="10"/>
  <c r="E47" i="10"/>
  <c r="E115" i="10"/>
  <c r="F474" i="12" s="1"/>
  <c r="E130" i="10"/>
  <c r="F510" i="12" s="1"/>
  <c r="E156" i="10"/>
  <c r="E61" i="10"/>
  <c r="E171" i="10"/>
  <c r="E140" i="10"/>
  <c r="F534" i="12" s="1"/>
  <c r="E35" i="10"/>
  <c r="E196" i="10"/>
  <c r="F635" i="12" s="1"/>
  <c r="E92" i="10"/>
  <c r="E68" i="10"/>
  <c r="E46" i="10"/>
  <c r="F149" i="12" s="1"/>
  <c r="E67" i="10"/>
  <c r="E172" i="10"/>
  <c r="F598" i="12" s="1"/>
  <c r="E160" i="10"/>
  <c r="E125" i="10"/>
  <c r="E112" i="10"/>
  <c r="E78" i="10"/>
  <c r="E20" i="10"/>
  <c r="E145" i="10"/>
  <c r="E30" i="10"/>
  <c r="F101" i="12" s="1"/>
  <c r="E199" i="10"/>
  <c r="F639" i="12" s="1"/>
  <c r="E117" i="10"/>
  <c r="E157" i="10"/>
  <c r="E49" i="10"/>
  <c r="E144" i="10"/>
  <c r="E158" i="10"/>
  <c r="F559" i="12" s="1"/>
  <c r="E26" i="10"/>
  <c r="F96" i="12" s="1"/>
  <c r="E39" i="10"/>
  <c r="F124" i="12" s="1"/>
  <c r="E52" i="10"/>
  <c r="F171" i="12" s="1"/>
  <c r="E79" i="10"/>
  <c r="E122" i="10"/>
  <c r="E189" i="10"/>
  <c r="F622" i="12" s="1"/>
  <c r="E42" i="10"/>
  <c r="E109" i="10"/>
  <c r="E177" i="10"/>
  <c r="E76" i="10"/>
  <c r="E169" i="10"/>
  <c r="F588" i="12" s="1"/>
  <c r="E64" i="10"/>
  <c r="E181" i="10"/>
  <c r="E203" i="10"/>
  <c r="F648" i="12" s="1"/>
  <c r="E89" i="10"/>
  <c r="E146" i="10"/>
  <c r="E32" i="10"/>
  <c r="E55" i="10"/>
  <c r="E101" i="10"/>
  <c r="E137" i="10"/>
  <c r="E184" i="10"/>
  <c r="F618" i="12" s="1"/>
  <c r="E209" i="11"/>
  <c r="F447" i="12" s="1"/>
  <c r="E33" i="10"/>
  <c r="E56" i="10"/>
  <c r="E102" i="10"/>
  <c r="E113" i="10"/>
  <c r="E138" i="10"/>
  <c r="E149" i="10"/>
  <c r="E185" i="10"/>
  <c r="E210" i="11"/>
  <c r="F450" i="12" s="1"/>
  <c r="E34" i="10"/>
  <c r="F113" i="12" s="1"/>
  <c r="E114" i="10"/>
  <c r="E139" i="10"/>
  <c r="F533" i="12" s="1"/>
  <c r="E150" i="10"/>
  <c r="E186" i="10"/>
  <c r="F620" i="12" s="1"/>
  <c r="E43" i="11"/>
  <c r="F107" i="12" s="1"/>
  <c r="E59" i="11"/>
  <c r="F162" i="12" s="1"/>
  <c r="E75" i="11"/>
  <c r="F193" i="12" s="1"/>
  <c r="E91" i="11"/>
  <c r="F220" i="12" s="1"/>
  <c r="E107" i="11"/>
  <c r="F251" i="12" s="1"/>
  <c r="E211" i="11"/>
  <c r="F451" i="12" s="1"/>
  <c r="E225" i="11"/>
  <c r="F493" i="12" s="1"/>
  <c r="E23" i="10"/>
  <c r="F72" i="12" s="1"/>
  <c r="E58" i="10"/>
  <c r="E127" i="10"/>
  <c r="F498" i="12" s="1"/>
  <c r="E151" i="10"/>
  <c r="E162" i="10"/>
  <c r="E24" i="10"/>
  <c r="F80" i="12" s="1"/>
  <c r="E69" i="10"/>
  <c r="E93" i="10"/>
  <c r="E105" i="10"/>
  <c r="E128" i="10"/>
  <c r="F500" i="12" s="1"/>
  <c r="E152" i="10"/>
  <c r="E213" i="11"/>
  <c r="F456" i="12" s="1"/>
  <c r="E87" i="10"/>
  <c r="F378" i="12" s="1"/>
  <c r="E133" i="10"/>
  <c r="F518" i="12" s="1"/>
  <c r="E180" i="10"/>
  <c r="E170" i="10"/>
  <c r="E65" i="10"/>
  <c r="F226" i="12" s="1"/>
  <c r="E124" i="10"/>
  <c r="E182" i="10"/>
  <c r="E44" i="10"/>
  <c r="F141" i="12" s="1"/>
  <c r="E66" i="10"/>
  <c r="E90" i="10"/>
  <c r="E136" i="10"/>
  <c r="E147" i="10"/>
  <c r="E183" i="10"/>
  <c r="E234" i="11"/>
  <c r="F535" i="12" s="1"/>
  <c r="E129" i="11"/>
  <c r="F285" i="12" s="1"/>
  <c r="E204" i="11"/>
  <c r="F437" i="12" s="1"/>
  <c r="E235" i="11"/>
  <c r="F542" i="12" s="1"/>
  <c r="E53" i="10"/>
  <c r="E159" i="10"/>
  <c r="F560" i="12" s="1"/>
  <c r="E202" i="10"/>
  <c r="F647" i="12" s="1"/>
  <c r="E34" i="11"/>
  <c r="F86" i="12" s="1"/>
  <c r="E50" i="11"/>
  <c r="F116" i="12" s="1"/>
  <c r="E66" i="11"/>
  <c r="F180" i="12" s="1"/>
  <c r="E82" i="11"/>
  <c r="F206" i="12" s="1"/>
  <c r="E98" i="11"/>
  <c r="F235" i="12" s="1"/>
  <c r="E236" i="11"/>
  <c r="F549" i="12" s="1"/>
  <c r="E54" i="10"/>
  <c r="E85" i="10"/>
  <c r="E148" i="10"/>
  <c r="E35" i="11"/>
  <c r="F87" i="12" s="1"/>
  <c r="E51" i="11"/>
  <c r="F118" i="12" s="1"/>
  <c r="E67" i="11"/>
  <c r="F181" i="12" s="1"/>
  <c r="E83" i="11"/>
  <c r="F207" i="12" s="1"/>
  <c r="E99" i="11"/>
  <c r="F237" i="12" s="1"/>
  <c r="E115" i="11"/>
  <c r="F263" i="12" s="1"/>
  <c r="E214" i="11"/>
  <c r="F459" i="12" s="1"/>
  <c r="E40" i="10"/>
  <c r="E50" i="10"/>
  <c r="E72" i="10"/>
  <c r="E103" i="10"/>
  <c r="E134" i="10"/>
  <c r="E166" i="10"/>
  <c r="E197" i="10"/>
  <c r="E29" i="11"/>
  <c r="F76" i="12" s="1"/>
  <c r="E45" i="11"/>
  <c r="F109" i="12" s="1"/>
  <c r="E61" i="11"/>
  <c r="F167" i="12" s="1"/>
  <c r="E77" i="11"/>
  <c r="F197" i="12" s="1"/>
  <c r="E93" i="11"/>
  <c r="F222" i="12" s="1"/>
  <c r="E231" i="11"/>
  <c r="F517" i="12" s="1"/>
  <c r="E41" i="10"/>
  <c r="E73" i="10"/>
  <c r="E82" i="10"/>
  <c r="E104" i="10"/>
  <c r="E135" i="10"/>
  <c r="F523" i="12" s="1"/>
  <c r="E167" i="10"/>
  <c r="E198" i="10"/>
  <c r="E30" i="11"/>
  <c r="F78" i="12" s="1"/>
  <c r="E46" i="11"/>
  <c r="F110" i="12" s="1"/>
  <c r="E62" i="11"/>
  <c r="F168" i="12" s="1"/>
  <c r="E78" i="11"/>
  <c r="F198" i="12" s="1"/>
  <c r="E94" i="11"/>
  <c r="F223" i="12" s="1"/>
  <c r="E110" i="11"/>
  <c r="F256" i="12" s="1"/>
  <c r="E223" i="11"/>
  <c r="F489" i="12" s="1"/>
  <c r="E25" i="10"/>
  <c r="F90" i="12" s="1"/>
  <c r="E57" i="10"/>
  <c r="E88" i="10"/>
  <c r="E118" i="10"/>
  <c r="E200" i="10"/>
  <c r="E32" i="11"/>
  <c r="F83" i="12" s="1"/>
  <c r="E48" i="11"/>
  <c r="F114" i="12" s="1"/>
  <c r="E64" i="11"/>
  <c r="F175" i="12" s="1"/>
  <c r="E80" i="11"/>
  <c r="F200" i="12" s="1"/>
  <c r="E128" i="11"/>
  <c r="F284" i="12" s="1"/>
  <c r="E160" i="11"/>
  <c r="F342" i="12" s="1"/>
  <c r="E192" i="11"/>
  <c r="F409" i="12" s="1"/>
  <c r="E232" i="11"/>
  <c r="F524" i="12" s="1"/>
  <c r="E203" i="11"/>
  <c r="F435" i="12" s="1"/>
  <c r="E144" i="11"/>
  <c r="F309" i="12" s="1"/>
  <c r="E131" i="11"/>
  <c r="F288" i="12" s="1"/>
  <c r="E112" i="11"/>
  <c r="F260" i="12" s="1"/>
  <c r="E27" i="11"/>
  <c r="F71" i="12" s="1"/>
  <c r="E96" i="11"/>
  <c r="F230" i="12" s="1"/>
  <c r="E176" i="11"/>
  <c r="F382" i="12" s="1"/>
  <c r="E28" i="11"/>
  <c r="F75" i="12" s="1"/>
  <c r="E38" i="11"/>
  <c r="F92" i="12" s="1"/>
  <c r="E72" i="11"/>
  <c r="F187" i="12" s="1"/>
  <c r="E106" i="11"/>
  <c r="F250" i="12" s="1"/>
  <c r="E117" i="11"/>
  <c r="F270" i="12" s="1"/>
  <c r="E37" i="11"/>
  <c r="F91" i="12" s="1"/>
  <c r="E40" i="11"/>
  <c r="F94" i="12" s="1"/>
  <c r="E74" i="11"/>
  <c r="F192" i="12" s="1"/>
  <c r="E119" i="11"/>
  <c r="F272" i="12" s="1"/>
  <c r="E132" i="11"/>
  <c r="F289" i="12" s="1"/>
  <c r="E41" i="11"/>
  <c r="F98" i="12" s="1"/>
  <c r="E63" i="11"/>
  <c r="F169" i="12" s="1"/>
  <c r="E84" i="11"/>
  <c r="F208" i="12" s="1"/>
  <c r="E108" i="11"/>
  <c r="F252" i="12" s="1"/>
  <c r="E120" i="11"/>
  <c r="F273" i="12" s="1"/>
  <c r="E133" i="11"/>
  <c r="F292" i="12" s="1"/>
  <c r="E148" i="11"/>
  <c r="F320" i="12" s="1"/>
  <c r="E95" i="11"/>
  <c r="F229" i="12" s="1"/>
  <c r="E42" i="11"/>
  <c r="F102" i="12" s="1"/>
  <c r="E85" i="11"/>
  <c r="F210" i="12" s="1"/>
  <c r="E121" i="11"/>
  <c r="F274" i="12" s="1"/>
  <c r="E134" i="11"/>
  <c r="F293" i="12" s="1"/>
  <c r="E149" i="11"/>
  <c r="F326" i="12" s="1"/>
  <c r="E164" i="11"/>
  <c r="F351" i="12" s="1"/>
  <c r="E31" i="11"/>
  <c r="F81" i="12" s="1"/>
  <c r="E52" i="11"/>
  <c r="F126" i="12" s="1"/>
  <c r="E76" i="11"/>
  <c r="F196" i="12" s="1"/>
  <c r="E86" i="11"/>
  <c r="F211" i="12" s="1"/>
  <c r="E122" i="11"/>
  <c r="F275" i="12" s="1"/>
  <c r="E135" i="11"/>
  <c r="F295" i="12" s="1"/>
  <c r="E150" i="11"/>
  <c r="F327" i="12" s="1"/>
  <c r="E165" i="11"/>
  <c r="F353" i="12" s="1"/>
  <c r="E118" i="11"/>
  <c r="F271" i="12" s="1"/>
  <c r="E19" i="11"/>
  <c r="F60" i="12" s="1"/>
  <c r="E53" i="11"/>
  <c r="F131" i="12" s="1"/>
  <c r="E87" i="11"/>
  <c r="F213" i="12" s="1"/>
  <c r="E136" i="11"/>
  <c r="F296" i="12" s="1"/>
  <c r="E151" i="11"/>
  <c r="F329" i="12" s="1"/>
  <c r="E166" i="11"/>
  <c r="F361" i="12" s="1"/>
  <c r="E181" i="11"/>
  <c r="F392" i="12" s="1"/>
  <c r="E20" i="11"/>
  <c r="F61" i="12" s="1"/>
  <c r="E44" i="11"/>
  <c r="F108" i="12" s="1"/>
  <c r="E54" i="11"/>
  <c r="F136" i="12" s="1"/>
  <c r="E88" i="11"/>
  <c r="F215" i="12" s="1"/>
  <c r="E111" i="11"/>
  <c r="F257" i="12" s="1"/>
  <c r="E124" i="11"/>
  <c r="F277" i="12" s="1"/>
  <c r="E137" i="11"/>
  <c r="F299" i="12" s="1"/>
  <c r="E152" i="11"/>
  <c r="F330" i="12" s="1"/>
  <c r="E167" i="11"/>
  <c r="F363" i="12" s="1"/>
  <c r="E182" i="11"/>
  <c r="F393" i="12" s="1"/>
  <c r="E197" i="11"/>
  <c r="F420" i="12" s="1"/>
  <c r="E21" i="11"/>
  <c r="F62" i="12" s="1"/>
  <c r="E55" i="11"/>
  <c r="F138" i="12" s="1"/>
  <c r="E89" i="11"/>
  <c r="F218" i="12" s="1"/>
  <c r="E138" i="11"/>
  <c r="F300" i="12" s="1"/>
  <c r="E153" i="11"/>
  <c r="F331" i="12" s="1"/>
  <c r="E168" i="11"/>
  <c r="F368" i="12" s="1"/>
  <c r="E183" i="11"/>
  <c r="F395" i="12" s="1"/>
  <c r="E198" i="11"/>
  <c r="F421" i="12" s="1"/>
  <c r="E73" i="11"/>
  <c r="F191" i="12" s="1"/>
  <c r="E56" i="11"/>
  <c r="F144" i="12" s="1"/>
  <c r="E90" i="11"/>
  <c r="F219" i="12" s="1"/>
  <c r="E154" i="11"/>
  <c r="F332" i="12" s="1"/>
  <c r="E169" i="11"/>
  <c r="F369" i="12" s="1"/>
  <c r="E184" i="11"/>
  <c r="F397" i="12" s="1"/>
  <c r="E199" i="11"/>
  <c r="F425" i="12" s="1"/>
  <c r="E191" i="11"/>
  <c r="F405" i="12" s="1"/>
  <c r="E23" i="11"/>
  <c r="F64" i="12" s="1"/>
  <c r="E57" i="11"/>
  <c r="F148" i="12" s="1"/>
  <c r="E79" i="11"/>
  <c r="F199" i="12" s="1"/>
  <c r="E100" i="11"/>
  <c r="F238" i="12" s="1"/>
  <c r="E127" i="11"/>
  <c r="F283" i="12" s="1"/>
  <c r="E140" i="11"/>
  <c r="F302" i="12" s="1"/>
  <c r="E170" i="11"/>
  <c r="F370" i="12" s="1"/>
  <c r="E185" i="11"/>
  <c r="F398" i="12" s="1"/>
  <c r="E200" i="11"/>
  <c r="F426" i="12" s="1"/>
  <c r="E24" i="11"/>
  <c r="F67" i="12" s="1"/>
  <c r="E58" i="11"/>
  <c r="F152" i="12" s="1"/>
  <c r="E101" i="11"/>
  <c r="F239" i="12" s="1"/>
  <c r="E156" i="11"/>
  <c r="F334" i="12" s="1"/>
  <c r="E186" i="11"/>
  <c r="F400" i="12" s="1"/>
  <c r="E201" i="11"/>
  <c r="F427" i="12" s="1"/>
  <c r="E39" i="11"/>
  <c r="F93" i="12" s="1"/>
  <c r="E25" i="11"/>
  <c r="F68" i="12" s="1"/>
  <c r="E47" i="11"/>
  <c r="F112" i="12" s="1"/>
  <c r="E68" i="11"/>
  <c r="F182" i="12" s="1"/>
  <c r="E92" i="11"/>
  <c r="F221" i="12" s="1"/>
  <c r="E102" i="11"/>
  <c r="F243" i="12" s="1"/>
  <c r="E172" i="11"/>
  <c r="F374" i="12" s="1"/>
  <c r="E202" i="11"/>
  <c r="F431" i="12" s="1"/>
  <c r="E26" i="11"/>
  <c r="F70" i="12" s="1"/>
  <c r="E69" i="11"/>
  <c r="F184" i="12" s="1"/>
  <c r="E103" i="11"/>
  <c r="F244" i="12" s="1"/>
  <c r="E143" i="11"/>
  <c r="F308" i="12" s="1"/>
  <c r="E36" i="11"/>
  <c r="F88" i="12" s="1"/>
  <c r="E60" i="11"/>
  <c r="F166" i="12" s="1"/>
  <c r="E70" i="11"/>
  <c r="F185" i="12" s="1"/>
  <c r="E104" i="11"/>
  <c r="F246" i="12" s="1"/>
  <c r="E159" i="11"/>
  <c r="F341" i="12" s="1"/>
  <c r="E71" i="11"/>
  <c r="F186" i="12" s="1"/>
  <c r="E105" i="11"/>
  <c r="F248" i="12" s="1"/>
  <c r="E116" i="11"/>
  <c r="F265" i="12" s="1"/>
  <c r="E175" i="11"/>
  <c r="F381" i="12" s="1"/>
  <c r="E123" i="11"/>
  <c r="F276" i="12" s="1"/>
  <c r="E139" i="11"/>
  <c r="F301" i="12" s="1"/>
  <c r="E155" i="11"/>
  <c r="F333" i="12" s="1"/>
  <c r="E171" i="11"/>
  <c r="F372" i="12" s="1"/>
  <c r="E187" i="11"/>
  <c r="F401" i="12" s="1"/>
  <c r="E22" i="11"/>
  <c r="F63" i="12" s="1"/>
  <c r="E145" i="11"/>
  <c r="F311" i="12" s="1"/>
  <c r="E161" i="11"/>
  <c r="F344" i="12" s="1"/>
  <c r="E177" i="11"/>
  <c r="F384" i="12" s="1"/>
  <c r="E193" i="11"/>
  <c r="F412" i="12" s="1"/>
  <c r="E188" i="11"/>
  <c r="F402" i="12" s="1"/>
  <c r="E114" i="11"/>
  <c r="F262" i="12" s="1"/>
  <c r="E130" i="11"/>
  <c r="F287" i="12" s="1"/>
  <c r="E146" i="11"/>
  <c r="F312" i="12" s="1"/>
  <c r="E162" i="11"/>
  <c r="F349" i="12" s="1"/>
  <c r="E178" i="11"/>
  <c r="F387" i="12" s="1"/>
  <c r="E194" i="11"/>
  <c r="F413" i="12" s="1"/>
  <c r="E109" i="11"/>
  <c r="F255" i="12" s="1"/>
  <c r="E125" i="11"/>
  <c r="F278" i="12" s="1"/>
  <c r="E141" i="11"/>
  <c r="F305" i="12" s="1"/>
  <c r="E157" i="11"/>
  <c r="F338" i="12" s="1"/>
  <c r="E173" i="11"/>
  <c r="F377" i="12" s="1"/>
  <c r="E189" i="11"/>
  <c r="F403" i="12" s="1"/>
  <c r="E147" i="11"/>
  <c r="F318" i="12" s="1"/>
  <c r="E163" i="11"/>
  <c r="F350" i="12" s="1"/>
  <c r="E179" i="11"/>
  <c r="F388" i="12" s="1"/>
  <c r="E195" i="11"/>
  <c r="F415" i="12" s="1"/>
  <c r="E126" i="11"/>
  <c r="F281" i="12" s="1"/>
  <c r="E142" i="11"/>
  <c r="F307" i="12" s="1"/>
  <c r="E158" i="11"/>
  <c r="F340" i="12" s="1"/>
  <c r="E174" i="11"/>
  <c r="F379" i="12" s="1"/>
  <c r="E190" i="11"/>
  <c r="F404" i="12" s="1"/>
  <c r="E180" i="11"/>
  <c r="F389" i="12" s="1"/>
  <c r="E196" i="11"/>
  <c r="F416" i="12" s="1"/>
  <c r="C9" i="11"/>
  <c r="E9" i="11" s="1"/>
  <c r="F15" i="12" s="1"/>
  <c r="C14" i="11"/>
  <c r="E14" i="11" s="1"/>
  <c r="F41" i="12" s="1"/>
  <c r="C8" i="11"/>
  <c r="E8" i="11" s="1"/>
  <c r="F14" i="12" s="1"/>
  <c r="C13" i="11"/>
  <c r="E13" i="11" s="1"/>
  <c r="F39" i="12" s="1"/>
  <c r="C18" i="11"/>
  <c r="E18" i="11" s="1"/>
  <c r="F57" i="12" s="1"/>
  <c r="C7" i="11"/>
  <c r="E7" i="11" s="1"/>
  <c r="F13" i="12" s="1"/>
  <c r="C12" i="11"/>
  <c r="E12" i="11" s="1"/>
  <c r="F29" i="12" s="1"/>
  <c r="C17" i="11"/>
  <c r="E17" i="11" s="1"/>
  <c r="F56" i="12" s="1"/>
  <c r="C11" i="11"/>
  <c r="E11" i="11" s="1"/>
  <c r="F24" i="12" s="1"/>
  <c r="C6" i="11"/>
  <c r="C16" i="11"/>
  <c r="E16" i="11" s="1"/>
  <c r="F54" i="12" s="1"/>
  <c r="C10" i="11"/>
  <c r="E10" i="11" s="1"/>
  <c r="F17" i="12" s="1"/>
  <c r="C15" i="11"/>
  <c r="E15" i="11" s="1"/>
  <c r="F49" i="12" s="1"/>
  <c r="E21" i="10"/>
  <c r="F65" i="12" s="1"/>
  <c r="E22" i="10"/>
  <c r="F66" i="12" s="1"/>
  <c r="C10" i="10"/>
  <c r="C15" i="10"/>
  <c r="C9" i="10"/>
  <c r="C14" i="10"/>
  <c r="C19" i="10"/>
  <c r="C8" i="10"/>
  <c r="E8" i="10" s="1"/>
  <c r="F7" i="12" s="1"/>
  <c r="C13" i="10"/>
  <c r="C18" i="10"/>
  <c r="E18" i="10" s="1"/>
  <c r="F58" i="12" s="1"/>
  <c r="C7" i="10"/>
  <c r="C16" i="10"/>
  <c r="E16" i="10" s="1"/>
  <c r="F51" i="12" s="1"/>
  <c r="C6" i="10"/>
  <c r="C11" i="10"/>
  <c r="E11" i="10" s="1"/>
  <c r="F31" i="12" s="1"/>
  <c r="C17" i="10"/>
  <c r="E17" i="10" s="1"/>
  <c r="C12" i="10"/>
  <c r="E12" i="10" s="1"/>
  <c r="F35" i="12" s="1"/>
  <c r="C20" i="9"/>
  <c r="C31" i="9"/>
  <c r="C51" i="9"/>
  <c r="C62" i="9"/>
  <c r="C73" i="9"/>
  <c r="C82" i="9"/>
  <c r="C93" i="9"/>
  <c r="C103" i="9"/>
  <c r="C124" i="9"/>
  <c r="C133" i="9"/>
  <c r="C158" i="9"/>
  <c r="C173" i="9"/>
  <c r="C188" i="9"/>
  <c r="C203" i="9"/>
  <c r="C22" i="9"/>
  <c r="C32" i="9"/>
  <c r="C52" i="9"/>
  <c r="C63" i="9"/>
  <c r="C83" i="9"/>
  <c r="C94" i="9"/>
  <c r="C105" i="9"/>
  <c r="C114" i="9"/>
  <c r="C125" i="9"/>
  <c r="C135" i="9"/>
  <c r="C146" i="9"/>
  <c r="C175" i="9"/>
  <c r="C190" i="9"/>
  <c r="C205" i="9"/>
  <c r="C23" i="9"/>
  <c r="C44" i="9"/>
  <c r="C53" i="9"/>
  <c r="C75" i="9"/>
  <c r="C106" i="9"/>
  <c r="C136" i="9"/>
  <c r="C160" i="9"/>
  <c r="C191" i="9"/>
  <c r="C206" i="9"/>
  <c r="C24" i="9"/>
  <c r="C33" i="9"/>
  <c r="C54" i="9"/>
  <c r="C64" i="9"/>
  <c r="C84" i="9"/>
  <c r="C95" i="9"/>
  <c r="C115" i="9"/>
  <c r="C126" i="9"/>
  <c r="C137" i="9"/>
  <c r="C147" i="9"/>
  <c r="C161" i="9"/>
  <c r="C176" i="9"/>
  <c r="C207" i="9"/>
  <c r="C25" i="9"/>
  <c r="C34" i="9"/>
  <c r="C45" i="9"/>
  <c r="C55" i="9"/>
  <c r="C76" i="9"/>
  <c r="C85" i="9"/>
  <c r="C107" i="9"/>
  <c r="C138" i="9"/>
  <c r="C162" i="9"/>
  <c r="C177" i="9"/>
  <c r="C192" i="9"/>
  <c r="C26" i="9"/>
  <c r="C56" i="9"/>
  <c r="C65" i="9"/>
  <c r="C86" i="9"/>
  <c r="C96" i="9"/>
  <c r="C116" i="9"/>
  <c r="C127" i="9"/>
  <c r="C148" i="9"/>
  <c r="C163" i="9"/>
  <c r="C178" i="9"/>
  <c r="C193" i="9"/>
  <c r="C208" i="9"/>
  <c r="C35" i="9"/>
  <c r="C46" i="9"/>
  <c r="C57" i="9"/>
  <c r="C66" i="9"/>
  <c r="C77" i="9"/>
  <c r="C87" i="9"/>
  <c r="C108" i="9"/>
  <c r="C117" i="9"/>
  <c r="C139" i="9"/>
  <c r="C149" i="9"/>
  <c r="C164" i="9"/>
  <c r="C179" i="9"/>
  <c r="C194" i="9"/>
  <c r="C209" i="9"/>
  <c r="C27" i="9"/>
  <c r="C58" i="9"/>
  <c r="C88" i="9"/>
  <c r="C97" i="9"/>
  <c r="C118" i="9"/>
  <c r="C128" i="9"/>
  <c r="C150" i="9"/>
  <c r="C165" i="9"/>
  <c r="C180" i="9"/>
  <c r="C195" i="9"/>
  <c r="C210" i="9"/>
  <c r="C36" i="9"/>
  <c r="C47" i="9"/>
  <c r="C67" i="9"/>
  <c r="C78" i="9"/>
  <c r="C89" i="9"/>
  <c r="C98" i="9"/>
  <c r="C109" i="9"/>
  <c r="C119" i="9"/>
  <c r="C140" i="9"/>
  <c r="C151" i="9"/>
  <c r="C166" i="9"/>
  <c r="C181" i="9"/>
  <c r="C196" i="9"/>
  <c r="C211" i="9"/>
  <c r="C28" i="9"/>
  <c r="C37" i="9"/>
  <c r="C59" i="9"/>
  <c r="C90" i="9"/>
  <c r="C120" i="9"/>
  <c r="C129" i="9"/>
  <c r="C141" i="9"/>
  <c r="C152" i="9"/>
  <c r="C167" i="9"/>
  <c r="C182" i="9"/>
  <c r="C197" i="9"/>
  <c r="C212" i="9"/>
  <c r="C218" i="9"/>
  <c r="C38" i="9"/>
  <c r="C48" i="9"/>
  <c r="C68" i="9"/>
  <c r="C79" i="9"/>
  <c r="C99" i="9"/>
  <c r="C110" i="9"/>
  <c r="C121" i="9"/>
  <c r="C130" i="9"/>
  <c r="C153" i="9"/>
  <c r="C168" i="9"/>
  <c r="C183" i="9"/>
  <c r="C198" i="9"/>
  <c r="C213" i="9"/>
  <c r="C18" i="9"/>
  <c r="C29" i="9"/>
  <c r="C39" i="9"/>
  <c r="C60" i="9"/>
  <c r="C69" i="9"/>
  <c r="C91" i="9"/>
  <c r="C122" i="9"/>
  <c r="C142" i="9"/>
  <c r="C154" i="9"/>
  <c r="C169" i="9"/>
  <c r="C184" i="9"/>
  <c r="C199" i="9"/>
  <c r="C214" i="9"/>
  <c r="C40" i="9"/>
  <c r="C49" i="9"/>
  <c r="C70" i="9"/>
  <c r="C80" i="9"/>
  <c r="C100" i="9"/>
  <c r="C111" i="9"/>
  <c r="C131" i="9"/>
  <c r="C143" i="9"/>
  <c r="C155" i="9"/>
  <c r="C170" i="9"/>
  <c r="C185" i="9"/>
  <c r="C200" i="9"/>
  <c r="C215" i="9"/>
  <c r="C19" i="9"/>
  <c r="C30" i="9"/>
  <c r="C41" i="9"/>
  <c r="C50" i="9"/>
  <c r="C61" i="9"/>
  <c r="C71" i="9"/>
  <c r="C92" i="9"/>
  <c r="C101" i="9"/>
  <c r="C123" i="9"/>
  <c r="C156" i="9"/>
  <c r="C171" i="9"/>
  <c r="C186" i="9"/>
  <c r="C201" i="9"/>
  <c r="C216" i="9"/>
  <c r="C42" i="9"/>
  <c r="C72" i="9"/>
  <c r="C81" i="9"/>
  <c r="C102" i="9"/>
  <c r="C112" i="9"/>
  <c r="C132" i="9"/>
  <c r="C144" i="9"/>
  <c r="E144" i="9" s="1"/>
  <c r="C157" i="9"/>
  <c r="C172" i="9"/>
  <c r="C187" i="9"/>
  <c r="C202" i="9"/>
  <c r="C217" i="9"/>
  <c r="C8" i="9"/>
  <c r="C13" i="9"/>
  <c r="C7" i="9"/>
  <c r="C12" i="9"/>
  <c r="C17" i="9"/>
  <c r="C11" i="9"/>
  <c r="C6" i="9"/>
  <c r="C16" i="9"/>
  <c r="C14" i="9"/>
  <c r="C9" i="9"/>
  <c r="C15" i="9"/>
  <c r="C10" i="9"/>
  <c r="D6" i="8"/>
  <c r="C11" i="8"/>
  <c r="C59" i="8"/>
  <c r="C91" i="8"/>
  <c r="C171" i="8"/>
  <c r="C172" i="8"/>
  <c r="C13" i="8"/>
  <c r="C29" i="8"/>
  <c r="C45" i="8"/>
  <c r="C61" i="8"/>
  <c r="E61" i="8" s="1"/>
  <c r="F217" i="12" s="1"/>
  <c r="C77" i="8"/>
  <c r="E77" i="8" s="1"/>
  <c r="C93" i="8"/>
  <c r="C109" i="8"/>
  <c r="C125" i="8"/>
  <c r="C141" i="8"/>
  <c r="C157" i="8"/>
  <c r="C173" i="8"/>
  <c r="C140" i="8"/>
  <c r="C14" i="8"/>
  <c r="C30" i="8"/>
  <c r="C46" i="8"/>
  <c r="C62" i="8"/>
  <c r="C78" i="8"/>
  <c r="C94" i="8"/>
  <c r="C110" i="8"/>
  <c r="C126" i="8"/>
  <c r="E126" i="8" s="1"/>
  <c r="C142" i="8"/>
  <c r="E142" i="8" s="1"/>
  <c r="F514" i="12" s="1"/>
  <c r="C158" i="8"/>
  <c r="C174" i="8"/>
  <c r="E174" i="8" s="1"/>
  <c r="F600" i="12" s="1"/>
  <c r="C15" i="8"/>
  <c r="E15" i="8" s="1"/>
  <c r="F27" i="12" s="1"/>
  <c r="C31" i="8"/>
  <c r="C47" i="8"/>
  <c r="C63" i="8"/>
  <c r="C79" i="8"/>
  <c r="C95" i="8"/>
  <c r="C111" i="8"/>
  <c r="C127" i="8"/>
  <c r="C143" i="8"/>
  <c r="C159" i="8"/>
  <c r="C175" i="8"/>
  <c r="C12" i="8"/>
  <c r="C16" i="8"/>
  <c r="E16" i="8" s="1"/>
  <c r="F28" i="12" s="1"/>
  <c r="C32" i="8"/>
  <c r="E32" i="8" s="1"/>
  <c r="F89" i="12" s="1"/>
  <c r="C48" i="8"/>
  <c r="C64" i="8"/>
  <c r="E64" i="8" s="1"/>
  <c r="F245" i="12" s="1"/>
  <c r="C80" i="8"/>
  <c r="E80" i="8" s="1"/>
  <c r="F316" i="12" s="1"/>
  <c r="C96" i="8"/>
  <c r="C112" i="8"/>
  <c r="C128" i="8"/>
  <c r="C144" i="8"/>
  <c r="C160" i="8"/>
  <c r="C176" i="8"/>
  <c r="C17" i="8"/>
  <c r="C33" i="8"/>
  <c r="C49" i="8"/>
  <c r="C65" i="8"/>
  <c r="C81" i="8"/>
  <c r="C97" i="8"/>
  <c r="E97" i="8" s="1"/>
  <c r="C113" i="8"/>
  <c r="E113" i="8" s="1"/>
  <c r="F424" i="12" s="1"/>
  <c r="C129" i="8"/>
  <c r="C145" i="8"/>
  <c r="E145" i="8" s="1"/>
  <c r="C161" i="8"/>
  <c r="E161" i="8" s="1"/>
  <c r="F574" i="12" s="1"/>
  <c r="C177" i="8"/>
  <c r="C123" i="8"/>
  <c r="C124" i="8"/>
  <c r="C18" i="8"/>
  <c r="C34" i="8"/>
  <c r="C50" i="8"/>
  <c r="C66" i="8"/>
  <c r="C82" i="8"/>
  <c r="C98" i="8"/>
  <c r="C114" i="8"/>
  <c r="C130" i="8"/>
  <c r="C146" i="8"/>
  <c r="E146" i="8" s="1"/>
  <c r="C162" i="8"/>
  <c r="E162" i="8" s="1"/>
  <c r="F578" i="12" s="1"/>
  <c r="C178" i="8"/>
  <c r="C76" i="8"/>
  <c r="E76" i="8" s="1"/>
  <c r="C19" i="8"/>
  <c r="E19" i="8" s="1"/>
  <c r="F33" i="12" s="1"/>
  <c r="C35" i="8"/>
  <c r="C51" i="8"/>
  <c r="C67" i="8"/>
  <c r="C83" i="8"/>
  <c r="C99" i="8"/>
  <c r="C115" i="8"/>
  <c r="C131" i="8"/>
  <c r="C147" i="8"/>
  <c r="C163" i="8"/>
  <c r="C179" i="8"/>
  <c r="C20" i="8"/>
  <c r="C36" i="8"/>
  <c r="E36" i="8" s="1"/>
  <c r="F105" i="12" s="1"/>
  <c r="C52" i="8"/>
  <c r="E52" i="8" s="1"/>
  <c r="F161" i="12" s="1"/>
  <c r="C68" i="8"/>
  <c r="C84" i="8"/>
  <c r="E84" i="8" s="1"/>
  <c r="C100" i="8"/>
  <c r="E100" i="8" s="1"/>
  <c r="F367" i="12" s="1"/>
  <c r="C116" i="8"/>
  <c r="C132" i="8"/>
  <c r="C148" i="8"/>
  <c r="C164" i="8"/>
  <c r="C180" i="8"/>
  <c r="C75" i="8"/>
  <c r="C28" i="8"/>
  <c r="C187" i="8"/>
  <c r="C21" i="8"/>
  <c r="C37" i="8"/>
  <c r="C53" i="8"/>
  <c r="C69" i="8"/>
  <c r="E69" i="8" s="1"/>
  <c r="C85" i="8"/>
  <c r="E85" i="8" s="1"/>
  <c r="C101" i="8"/>
  <c r="C117" i="8"/>
  <c r="E117" i="8" s="1"/>
  <c r="C133" i="8"/>
  <c r="E133" i="8" s="1"/>
  <c r="F485" i="12" s="1"/>
  <c r="C149" i="8"/>
  <c r="C165" i="8"/>
  <c r="C181" i="8"/>
  <c r="C107" i="8"/>
  <c r="C92" i="8"/>
  <c r="C22" i="8"/>
  <c r="C38" i="8"/>
  <c r="C54" i="8"/>
  <c r="C70" i="8"/>
  <c r="C86" i="8"/>
  <c r="C102" i="8"/>
  <c r="C118" i="8"/>
  <c r="E118" i="8" s="1"/>
  <c r="F433" i="12" s="1"/>
  <c r="C134" i="8"/>
  <c r="E134" i="8" s="1"/>
  <c r="C150" i="8"/>
  <c r="C166" i="8"/>
  <c r="E166" i="8" s="1"/>
  <c r="F584" i="12" s="1"/>
  <c r="C182" i="8"/>
  <c r="E182" i="8" s="1"/>
  <c r="F636" i="12" s="1"/>
  <c r="C43" i="8"/>
  <c r="C44" i="8"/>
  <c r="C7" i="8"/>
  <c r="C23" i="8"/>
  <c r="C39" i="8"/>
  <c r="C55" i="8"/>
  <c r="C71" i="8"/>
  <c r="C87" i="8"/>
  <c r="C103" i="8"/>
  <c r="C119" i="8"/>
  <c r="C135" i="8"/>
  <c r="C151" i="8"/>
  <c r="E151" i="8" s="1"/>
  <c r="F548" i="12" s="1"/>
  <c r="C167" i="8"/>
  <c r="E167" i="8" s="1"/>
  <c r="F585" i="12" s="1"/>
  <c r="C183" i="8"/>
  <c r="C27" i="8"/>
  <c r="E27" i="8" s="1"/>
  <c r="C60" i="8"/>
  <c r="E60" i="8" s="1"/>
  <c r="F212" i="12" s="1"/>
  <c r="C8" i="8"/>
  <c r="C24" i="8"/>
  <c r="C40" i="8"/>
  <c r="C56" i="8"/>
  <c r="C72" i="8"/>
  <c r="C88" i="8"/>
  <c r="C104" i="8"/>
  <c r="C120" i="8"/>
  <c r="C136" i="8"/>
  <c r="C152" i="8"/>
  <c r="C168" i="8"/>
  <c r="C184" i="8"/>
  <c r="E184" i="8" s="1"/>
  <c r="F640" i="12" s="1"/>
  <c r="C139" i="8"/>
  <c r="E139" i="8" s="1"/>
  <c r="F504" i="12" s="1"/>
  <c r="C108" i="8"/>
  <c r="C9" i="8"/>
  <c r="E9" i="8" s="1"/>
  <c r="F10" i="12" s="1"/>
  <c r="C25" i="8"/>
  <c r="E25" i="8" s="1"/>
  <c r="F53" i="12" s="1"/>
  <c r="C41" i="8"/>
  <c r="C57" i="8"/>
  <c r="C73" i="8"/>
  <c r="C89" i="8"/>
  <c r="C105" i="8"/>
  <c r="C121" i="8"/>
  <c r="C137" i="8"/>
  <c r="C153" i="8"/>
  <c r="C169" i="8"/>
  <c r="C185" i="8"/>
  <c r="C155" i="8"/>
  <c r="C156" i="8"/>
  <c r="E156" i="8" s="1"/>
  <c r="C10" i="8"/>
  <c r="E10" i="8" s="1"/>
  <c r="F11" i="12" s="1"/>
  <c r="C26" i="8"/>
  <c r="C42" i="8"/>
  <c r="E42" i="8" s="1"/>
  <c r="F133" i="12" s="1"/>
  <c r="C58" i="8"/>
  <c r="E58" i="8" s="1"/>
  <c r="C74" i="8"/>
  <c r="C90" i="8"/>
  <c r="C106" i="8"/>
  <c r="C122" i="8"/>
  <c r="C138" i="8"/>
  <c r="C154" i="8"/>
  <c r="C170" i="8"/>
  <c r="C186" i="8"/>
  <c r="E80" i="10" l="1"/>
  <c r="E27" i="10"/>
  <c r="E187" i="10"/>
  <c r="F69" i="12"/>
  <c r="E140" i="9"/>
  <c r="F502" i="12" s="1"/>
  <c r="E97" i="9"/>
  <c r="F364" i="12" s="1"/>
  <c r="E157" i="9"/>
  <c r="F537" i="12" s="1"/>
  <c r="E182" i="9"/>
  <c r="F576" i="12" s="1"/>
  <c r="E203" i="9"/>
  <c r="F614" i="12" s="1"/>
  <c r="E205" i="9"/>
  <c r="F491" i="12" s="1"/>
  <c r="E173" i="9"/>
  <c r="F564" i="12" s="1"/>
  <c r="E160" i="9"/>
  <c r="E185" i="8"/>
  <c r="E152" i="8"/>
  <c r="F554" i="12" s="1"/>
  <c r="E119" i="8"/>
  <c r="F434" i="12" s="1"/>
  <c r="E86" i="8"/>
  <c r="F328" i="12" s="1"/>
  <c r="E37" i="8"/>
  <c r="F106" i="12" s="1"/>
  <c r="E179" i="8"/>
  <c r="F616" i="12" s="1"/>
  <c r="E114" i="8"/>
  <c r="F428" i="12" s="1"/>
  <c r="E65" i="8"/>
  <c r="F249" i="12" s="1"/>
  <c r="E175" i="8"/>
  <c r="F605" i="12" s="1"/>
  <c r="E94" i="8"/>
  <c r="E29" i="8"/>
  <c r="F74" i="12" s="1"/>
  <c r="E169" i="8"/>
  <c r="F590" i="12" s="1"/>
  <c r="E136" i="8"/>
  <c r="F495" i="12" s="1"/>
  <c r="E103" i="8"/>
  <c r="F383" i="12" s="1"/>
  <c r="E70" i="8"/>
  <c r="E21" i="8"/>
  <c r="F38" i="12" s="1"/>
  <c r="E186" i="8"/>
  <c r="E153" i="8"/>
  <c r="E120" i="8"/>
  <c r="F443" i="12" s="1"/>
  <c r="E87" i="8"/>
  <c r="F336" i="12" s="1"/>
  <c r="E54" i="8"/>
  <c r="F173" i="12" s="1"/>
  <c r="E187" i="8"/>
  <c r="E147" i="8"/>
  <c r="F529" i="12" s="1"/>
  <c r="E82" i="8"/>
  <c r="F319" i="12" s="1"/>
  <c r="E33" i="8"/>
  <c r="F95" i="12" s="1"/>
  <c r="E143" i="8"/>
  <c r="F515" i="12" s="1"/>
  <c r="E62" i="8"/>
  <c r="E170" i="8"/>
  <c r="E138" i="8"/>
  <c r="E105" i="8"/>
  <c r="F390" i="12" s="1"/>
  <c r="E72" i="8"/>
  <c r="F294" i="12" s="1"/>
  <c r="E39" i="8"/>
  <c r="F122" i="12" s="1"/>
  <c r="E92" i="8"/>
  <c r="F348" i="12" s="1"/>
  <c r="E180" i="8"/>
  <c r="E99" i="8"/>
  <c r="F365" i="12" s="1"/>
  <c r="E34" i="8"/>
  <c r="F99" i="12" s="1"/>
  <c r="E160" i="8"/>
  <c r="F569" i="12" s="1"/>
  <c r="E95" i="8"/>
  <c r="F356" i="12" s="1"/>
  <c r="E14" i="8"/>
  <c r="F26" i="12" s="1"/>
  <c r="E59" i="8"/>
  <c r="D207" i="11"/>
  <c r="E122" i="8"/>
  <c r="E89" i="8"/>
  <c r="E56" i="8"/>
  <c r="F177" i="12" s="1"/>
  <c r="E23" i="8"/>
  <c r="F45" i="12" s="1"/>
  <c r="E107" i="8"/>
  <c r="E164" i="8"/>
  <c r="F580" i="12" s="1"/>
  <c r="E83" i="8"/>
  <c r="E18" i="8"/>
  <c r="E144" i="8"/>
  <c r="F522" i="12" s="1"/>
  <c r="E79" i="8"/>
  <c r="F315" i="12" s="1"/>
  <c r="E140" i="8"/>
  <c r="E106" i="8"/>
  <c r="F394" i="12" s="1"/>
  <c r="E73" i="8"/>
  <c r="F297" i="12" s="1"/>
  <c r="E40" i="8"/>
  <c r="F125" i="12" s="1"/>
  <c r="E181" i="8"/>
  <c r="F634" i="12" s="1"/>
  <c r="E148" i="8"/>
  <c r="E67" i="8"/>
  <c r="F259" i="12" s="1"/>
  <c r="E124" i="8"/>
  <c r="E128" i="8"/>
  <c r="F477" i="12" s="1"/>
  <c r="E63" i="8"/>
  <c r="E173" i="8"/>
  <c r="E90" i="8"/>
  <c r="F346" i="12" s="1"/>
  <c r="E57" i="8"/>
  <c r="F183" i="12" s="1"/>
  <c r="E24" i="8"/>
  <c r="F46" i="12" s="1"/>
  <c r="E44" i="8"/>
  <c r="F142" i="12" s="1"/>
  <c r="E165" i="8"/>
  <c r="F581" i="12" s="1"/>
  <c r="E132" i="8"/>
  <c r="F484" i="12" s="1"/>
  <c r="E51" i="8"/>
  <c r="F160" i="12" s="1"/>
  <c r="E123" i="8"/>
  <c r="F458" i="12" s="1"/>
  <c r="E112" i="8"/>
  <c r="E47" i="8"/>
  <c r="F151" i="12" s="1"/>
  <c r="E74" i="8"/>
  <c r="F303" i="12" s="1"/>
  <c r="E41" i="8"/>
  <c r="F132" i="12" s="1"/>
  <c r="E8" i="8"/>
  <c r="E43" i="8"/>
  <c r="E149" i="8"/>
  <c r="F538" i="12" s="1"/>
  <c r="E116" i="8"/>
  <c r="E35" i="8"/>
  <c r="F104" i="12" s="1"/>
  <c r="E177" i="8"/>
  <c r="F613" i="12" s="1"/>
  <c r="E96" i="8"/>
  <c r="F358" i="12" s="1"/>
  <c r="E31" i="8"/>
  <c r="F82" i="12" s="1"/>
  <c r="E141" i="8"/>
  <c r="D233" i="11"/>
  <c r="E26" i="8"/>
  <c r="E108" i="8"/>
  <c r="F399" i="12" s="1"/>
  <c r="E183" i="8"/>
  <c r="F638" i="12" s="1"/>
  <c r="E150" i="8"/>
  <c r="E101" i="8"/>
  <c r="E68" i="8"/>
  <c r="F264" i="12" s="1"/>
  <c r="E178" i="8"/>
  <c r="F615" i="12" s="1"/>
  <c r="E129" i="8"/>
  <c r="F480" i="12" s="1"/>
  <c r="E48" i="8"/>
  <c r="E158" i="8"/>
  <c r="F563" i="12" s="1"/>
  <c r="E16" i="9"/>
  <c r="F44" i="12" s="1"/>
  <c r="D231" i="11"/>
  <c r="D140" i="10"/>
  <c r="E192" i="9"/>
  <c r="F601" i="12" s="1"/>
  <c r="E211" i="9"/>
  <c r="F633" i="12" s="1"/>
  <c r="E132" i="9"/>
  <c r="F469" i="12" s="1"/>
  <c r="E50" i="9"/>
  <c r="E40" i="9"/>
  <c r="F154" i="12" s="1"/>
  <c r="E183" i="9"/>
  <c r="F582" i="12" s="1"/>
  <c r="E152" i="9"/>
  <c r="F527" i="12" s="1"/>
  <c r="E98" i="9"/>
  <c r="F366" i="12" s="1"/>
  <c r="E27" i="9"/>
  <c r="F117" i="12" s="1"/>
  <c r="E208" i="9"/>
  <c r="F626" i="12" s="1"/>
  <c r="E107" i="9"/>
  <c r="F407" i="12" s="1"/>
  <c r="D49" i="10"/>
  <c r="E195" i="9"/>
  <c r="F606" i="12" s="1"/>
  <c r="E112" i="9"/>
  <c r="E41" i="9"/>
  <c r="E214" i="9"/>
  <c r="F644" i="12" s="1"/>
  <c r="E168" i="9"/>
  <c r="F552" i="12" s="1"/>
  <c r="E141" i="9"/>
  <c r="F503" i="12" s="1"/>
  <c r="E89" i="9"/>
  <c r="F310" i="12" s="1"/>
  <c r="E145" i="9"/>
  <c r="F508" i="12" s="1"/>
  <c r="E193" i="9"/>
  <c r="F602" i="12" s="1"/>
  <c r="E85" i="9"/>
  <c r="F321" i="12" s="1"/>
  <c r="E179" i="9"/>
  <c r="F571" i="12" s="1"/>
  <c r="E102" i="9"/>
  <c r="E30" i="9"/>
  <c r="F129" i="12" s="1"/>
  <c r="E199" i="9"/>
  <c r="E153" i="9"/>
  <c r="F530" i="12" s="1"/>
  <c r="E129" i="9"/>
  <c r="F463" i="12" s="1"/>
  <c r="E78" i="9"/>
  <c r="F279" i="12" s="1"/>
  <c r="E209" i="9"/>
  <c r="F627" i="12" s="1"/>
  <c r="E178" i="9"/>
  <c r="F570" i="12" s="1"/>
  <c r="E163" i="9"/>
  <c r="F545" i="12" s="1"/>
  <c r="E81" i="9"/>
  <c r="F291" i="12" s="1"/>
  <c r="E184" i="9"/>
  <c r="F583" i="12" s="1"/>
  <c r="E130" i="9"/>
  <c r="F466" i="12" s="1"/>
  <c r="E120" i="9"/>
  <c r="F445" i="12" s="1"/>
  <c r="E67" i="9"/>
  <c r="F232" i="12" s="1"/>
  <c r="E10" i="9"/>
  <c r="E72" i="9"/>
  <c r="F247" i="12" s="1"/>
  <c r="E215" i="9"/>
  <c r="F629" i="12" s="1"/>
  <c r="E169" i="9"/>
  <c r="F553" i="12" s="1"/>
  <c r="E121" i="9"/>
  <c r="E206" i="9"/>
  <c r="F619" i="12" s="1"/>
  <c r="E15" i="9"/>
  <c r="F42" i="12" s="1"/>
  <c r="E189" i="9"/>
  <c r="F597" i="12" s="1"/>
  <c r="E9" i="9"/>
  <c r="F18" i="12" s="1"/>
  <c r="E14" i="9"/>
  <c r="F40" i="12" s="1"/>
  <c r="E155" i="8"/>
  <c r="F558" i="12" s="1"/>
  <c r="E168" i="8"/>
  <c r="F586" i="12" s="1"/>
  <c r="E135" i="8"/>
  <c r="F490" i="12" s="1"/>
  <c r="E102" i="8"/>
  <c r="F380" i="12" s="1"/>
  <c r="E53" i="8"/>
  <c r="F163" i="12" s="1"/>
  <c r="E20" i="8"/>
  <c r="F34" i="12" s="1"/>
  <c r="E130" i="8"/>
  <c r="F481" i="12" s="1"/>
  <c r="E81" i="8"/>
  <c r="E12" i="8"/>
  <c r="F22" i="12" s="1"/>
  <c r="E17" i="9"/>
  <c r="F47" i="12" s="1"/>
  <c r="E170" i="9"/>
  <c r="F528" i="12" s="1"/>
  <c r="D101" i="10"/>
  <c r="D68" i="10"/>
  <c r="D88" i="10"/>
  <c r="D156" i="10"/>
  <c r="D160" i="10"/>
  <c r="D225" i="11"/>
  <c r="D85" i="10"/>
  <c r="D52" i="10"/>
  <c r="D72" i="10"/>
  <c r="D209" i="11"/>
  <c r="D131" i="10"/>
  <c r="D34" i="10"/>
  <c r="D115" i="10"/>
  <c r="F541" i="12"/>
  <c r="D69" i="10"/>
  <c r="D73" i="10"/>
  <c r="D56" i="10"/>
  <c r="D124" i="10"/>
  <c r="D155" i="10"/>
  <c r="D230" i="11"/>
  <c r="D214" i="11"/>
  <c r="D143" i="10"/>
  <c r="D33" i="10"/>
  <c r="D127" i="10"/>
  <c r="D59" i="10"/>
  <c r="D199" i="10"/>
  <c r="D37" i="10"/>
  <c r="D41" i="10"/>
  <c r="D29" i="10"/>
  <c r="D92" i="10"/>
  <c r="D128" i="10"/>
  <c r="D21" i="10"/>
  <c r="D25" i="10"/>
  <c r="D23" i="10"/>
  <c r="D76" i="10"/>
  <c r="D223" i="11"/>
  <c r="D132" i="10"/>
  <c r="D99" i="10"/>
  <c r="D38" i="10"/>
  <c r="D53" i="10"/>
  <c r="D57" i="10"/>
  <c r="D40" i="10"/>
  <c r="D108" i="10"/>
  <c r="D190" i="10"/>
  <c r="D187" i="10"/>
  <c r="D97" i="10"/>
  <c r="D32" i="11"/>
  <c r="E6" i="11"/>
  <c r="F4" i="12" s="1"/>
  <c r="D205" i="11"/>
  <c r="D222" i="11"/>
  <c r="D235" i="11"/>
  <c r="D217" i="11"/>
  <c r="D237" i="11"/>
  <c r="D220" i="11"/>
  <c r="D215" i="11"/>
  <c r="D210" i="11"/>
  <c r="D218" i="11"/>
  <c r="D236" i="11"/>
  <c r="D226" i="11"/>
  <c r="D234" i="11"/>
  <c r="D221" i="11"/>
  <c r="D213" i="11"/>
  <c r="D232" i="11"/>
  <c r="D208" i="11"/>
  <c r="D216" i="11"/>
  <c r="D229" i="11"/>
  <c r="D219" i="11"/>
  <c r="D211" i="11"/>
  <c r="D224" i="11"/>
  <c r="D227" i="11"/>
  <c r="D203" i="11"/>
  <c r="D206" i="11"/>
  <c r="E119" i="9"/>
  <c r="F444" i="12" s="1"/>
  <c r="E88" i="9"/>
  <c r="F339" i="12" s="1"/>
  <c r="E46" i="9"/>
  <c r="E162" i="9"/>
  <c r="F544" i="12" s="1"/>
  <c r="E190" i="9"/>
  <c r="F599" i="12" s="1"/>
  <c r="E158" i="9"/>
  <c r="F539" i="12" s="1"/>
  <c r="E7" i="10"/>
  <c r="F5" i="12" s="1"/>
  <c r="D144" i="10"/>
  <c r="D82" i="10"/>
  <c r="D121" i="10"/>
  <c r="D149" i="10"/>
  <c r="D86" i="10"/>
  <c r="D145" i="10"/>
  <c r="D27" i="10"/>
  <c r="D77" i="10"/>
  <c r="D168" i="10"/>
  <c r="D30" i="10"/>
  <c r="D180" i="10"/>
  <c r="D90" i="10"/>
  <c r="D64" i="10"/>
  <c r="D134" i="10"/>
  <c r="D193" i="10"/>
  <c r="D71" i="10"/>
  <c r="D130" i="10"/>
  <c r="D125" i="10"/>
  <c r="D43" i="10"/>
  <c r="D94" i="10"/>
  <c r="D169" i="10"/>
  <c r="D47" i="10"/>
  <c r="D138" i="10"/>
  <c r="D203" i="10"/>
  <c r="D96" i="10"/>
  <c r="D166" i="10"/>
  <c r="D28" i="10"/>
  <c r="D103" i="10"/>
  <c r="D162" i="10"/>
  <c r="D157" i="10"/>
  <c r="D35" i="10"/>
  <c r="D126" i="10"/>
  <c r="D201" i="10"/>
  <c r="D79" i="10"/>
  <c r="D170" i="10"/>
  <c r="D182" i="10"/>
  <c r="D44" i="10"/>
  <c r="D119" i="10"/>
  <c r="D173" i="10"/>
  <c r="D51" i="10"/>
  <c r="D20" i="10"/>
  <c r="D95" i="10"/>
  <c r="D197" i="10"/>
  <c r="D112" i="10"/>
  <c r="D178" i="10"/>
  <c r="D142" i="10"/>
  <c r="D186" i="10"/>
  <c r="D191" i="10"/>
  <c r="D174" i="10"/>
  <c r="D171" i="10"/>
  <c r="D81" i="10"/>
  <c r="D228" i="11"/>
  <c r="D147" i="10"/>
  <c r="F306" i="12"/>
  <c r="D42" i="10"/>
  <c r="E61" i="9"/>
  <c r="F216" i="12" s="1"/>
  <c r="E176" i="9"/>
  <c r="F566" i="12" s="1"/>
  <c r="E156" i="9"/>
  <c r="F509" i="12" s="1"/>
  <c r="E188" i="9"/>
  <c r="F596" i="12" s="1"/>
  <c r="E174" i="9"/>
  <c r="F565" i="12" s="1"/>
  <c r="E172" i="9"/>
  <c r="E204" i="9"/>
  <c r="F617" i="12" s="1"/>
  <c r="E154" i="9"/>
  <c r="F501" i="12" s="1"/>
  <c r="E134" i="9"/>
  <c r="F472" i="12" s="1"/>
  <c r="E210" i="9"/>
  <c r="F632" i="12" s="1"/>
  <c r="E194" i="9"/>
  <c r="F603" i="12" s="1"/>
  <c r="E21" i="9"/>
  <c r="E49" i="9"/>
  <c r="E198" i="9"/>
  <c r="E167" i="9"/>
  <c r="F550" i="12" s="1"/>
  <c r="E109" i="9"/>
  <c r="F411" i="12" s="1"/>
  <c r="E58" i="9"/>
  <c r="F203" i="12" s="1"/>
  <c r="E138" i="9"/>
  <c r="F461" i="12" s="1"/>
  <c r="E84" i="9"/>
  <c r="F313" i="12" s="1"/>
  <c r="D175" i="10"/>
  <c r="D163" i="10"/>
  <c r="D91" i="10"/>
  <c r="D65" i="10"/>
  <c r="D212" i="11"/>
  <c r="D116" i="10"/>
  <c r="D83" i="10"/>
  <c r="D183" i="10"/>
  <c r="D107" i="10"/>
  <c r="D123" i="10"/>
  <c r="D159" i="10"/>
  <c r="D75" i="10"/>
  <c r="D127" i="9"/>
  <c r="D100" i="10"/>
  <c r="D120" i="10"/>
  <c r="D167" i="10"/>
  <c r="D192" i="10"/>
  <c r="E155" i="9"/>
  <c r="F536" i="12" s="1"/>
  <c r="E216" i="9"/>
  <c r="F641" i="12" s="1"/>
  <c r="E185" i="9"/>
  <c r="F587" i="12" s="1"/>
  <c r="E142" i="9"/>
  <c r="F475" i="12" s="1"/>
  <c r="E99" i="9"/>
  <c r="F373" i="12" s="1"/>
  <c r="D84" i="10"/>
  <c r="D104" i="10"/>
  <c r="D151" i="10"/>
  <c r="D176" i="10"/>
  <c r="D204" i="11"/>
  <c r="E148" i="9"/>
  <c r="F519" i="12" s="1"/>
  <c r="E37" i="9"/>
  <c r="F143" i="12" s="1"/>
  <c r="F268" i="12"/>
  <c r="E163" i="8"/>
  <c r="E98" i="8"/>
  <c r="F362" i="12" s="1"/>
  <c r="E49" i="8"/>
  <c r="F155" i="12" s="1"/>
  <c r="E7" i="9"/>
  <c r="E186" i="9"/>
  <c r="F589" i="12" s="1"/>
  <c r="E91" i="9"/>
  <c r="F357" i="12" s="1"/>
  <c r="E68" i="9"/>
  <c r="F233" i="12" s="1"/>
  <c r="E28" i="9"/>
  <c r="F127" i="12" s="1"/>
  <c r="E149" i="9"/>
  <c r="F520" i="12" s="1"/>
  <c r="E116" i="9"/>
  <c r="F439" i="12" s="1"/>
  <c r="D154" i="10"/>
  <c r="D63" i="10"/>
  <c r="D185" i="10"/>
  <c r="D110" i="10"/>
  <c r="D24" i="10"/>
  <c r="D141" i="10"/>
  <c r="D146" i="10"/>
  <c r="D87" i="10"/>
  <c r="D22" i="10"/>
  <c r="D150" i="10"/>
  <c r="D80" i="10"/>
  <c r="E36" i="9"/>
  <c r="F140" i="12" s="1"/>
  <c r="E122" i="9"/>
  <c r="E164" i="9"/>
  <c r="F546" i="12" s="1"/>
  <c r="E171" i="9"/>
  <c r="E69" i="9"/>
  <c r="F234" i="12" s="1"/>
  <c r="E139" i="9"/>
  <c r="F497" i="12" s="1"/>
  <c r="E71" i="8"/>
  <c r="F286" i="12" s="1"/>
  <c r="E28" i="8"/>
  <c r="F73" i="12" s="1"/>
  <c r="E66" i="8"/>
  <c r="F254" i="12" s="1"/>
  <c r="E127" i="8"/>
  <c r="F476" i="12" s="1"/>
  <c r="E46" i="8"/>
  <c r="F147" i="12" s="1"/>
  <c r="E8" i="9"/>
  <c r="F16" i="12" s="1"/>
  <c r="E217" i="9"/>
  <c r="F642" i="12" s="1"/>
  <c r="E131" i="9"/>
  <c r="F468" i="12" s="1"/>
  <c r="E60" i="9"/>
  <c r="F214" i="12" s="1"/>
  <c r="E38" i="9"/>
  <c r="F146" i="12" s="1"/>
  <c r="E196" i="9"/>
  <c r="F607" i="12" s="1"/>
  <c r="E180" i="9"/>
  <c r="F572" i="12" s="1"/>
  <c r="E117" i="9"/>
  <c r="D181" i="10"/>
  <c r="D122" i="10"/>
  <c r="D139" i="10"/>
  <c r="D153" i="10"/>
  <c r="D78" i="10"/>
  <c r="D200" i="10"/>
  <c r="D109" i="10"/>
  <c r="D114" i="10"/>
  <c r="D55" i="10"/>
  <c r="D177" i="10"/>
  <c r="D118" i="10"/>
  <c r="D48" i="10"/>
  <c r="E59" i="9"/>
  <c r="F209" i="12" s="1"/>
  <c r="E12" i="9"/>
  <c r="F21" i="12" s="1"/>
  <c r="E201" i="9"/>
  <c r="F611" i="12" s="1"/>
  <c r="E79" i="9"/>
  <c r="F282" i="12" s="1"/>
  <c r="E13" i="9"/>
  <c r="F23" i="12" s="1"/>
  <c r="E143" i="9"/>
  <c r="F507" i="12" s="1"/>
  <c r="E48" i="9"/>
  <c r="F176" i="12" s="1"/>
  <c r="E137" i="8"/>
  <c r="F496" i="12" s="1"/>
  <c r="E104" i="8"/>
  <c r="F385" i="12" s="1"/>
  <c r="E38" i="8"/>
  <c r="E131" i="8"/>
  <c r="E17" i="8"/>
  <c r="F30" i="12" s="1"/>
  <c r="E154" i="8"/>
  <c r="E121" i="8"/>
  <c r="F453" i="12" s="1"/>
  <c r="E88" i="8"/>
  <c r="F343" i="12" s="1"/>
  <c r="E55" i="8"/>
  <c r="F174" i="12" s="1"/>
  <c r="E22" i="8"/>
  <c r="E75" i="8"/>
  <c r="F304" i="12" s="1"/>
  <c r="E115" i="8"/>
  <c r="F429" i="12" s="1"/>
  <c r="E50" i="8"/>
  <c r="F156" i="12" s="1"/>
  <c r="E176" i="8"/>
  <c r="F610" i="12" s="1"/>
  <c r="E111" i="8"/>
  <c r="E202" i="9"/>
  <c r="F612" i="12" s="1"/>
  <c r="E123" i="9"/>
  <c r="F448" i="12" s="1"/>
  <c r="E111" i="9"/>
  <c r="F418" i="12" s="1"/>
  <c r="E39" i="9"/>
  <c r="F150" i="12" s="1"/>
  <c r="E218" i="9"/>
  <c r="E181" i="9"/>
  <c r="F575" i="12" s="1"/>
  <c r="E165" i="9"/>
  <c r="F547" i="12" s="1"/>
  <c r="E108" i="9"/>
  <c r="F410" i="12" s="1"/>
  <c r="E65" i="9"/>
  <c r="F228" i="12" s="1"/>
  <c r="D165" i="10"/>
  <c r="D106" i="10"/>
  <c r="D196" i="10"/>
  <c r="D137" i="10"/>
  <c r="D62" i="10"/>
  <c r="D184" i="10"/>
  <c r="D93" i="10"/>
  <c r="D98" i="10"/>
  <c r="D39" i="10"/>
  <c r="D161" i="10"/>
  <c r="D102" i="10"/>
  <c r="D32" i="10"/>
  <c r="D46" i="10"/>
  <c r="E187" i="9"/>
  <c r="F591" i="12" s="1"/>
  <c r="E101" i="9"/>
  <c r="F386" i="12" s="1"/>
  <c r="E29" i="9"/>
  <c r="F128" i="12" s="1"/>
  <c r="E150" i="9"/>
  <c r="F521" i="12" s="1"/>
  <c r="F345" i="12"/>
  <c r="E11" i="8"/>
  <c r="E92" i="9"/>
  <c r="E80" i="9"/>
  <c r="F290" i="12" s="1"/>
  <c r="E212" i="9"/>
  <c r="F637" i="12" s="1"/>
  <c r="E151" i="9"/>
  <c r="F525" i="12" s="1"/>
  <c r="E128" i="9"/>
  <c r="F462" i="12" s="1"/>
  <c r="D133" i="10"/>
  <c r="D74" i="10"/>
  <c r="D164" i="10"/>
  <c r="D105" i="10"/>
  <c r="D195" i="10"/>
  <c r="D152" i="10"/>
  <c r="D61" i="10"/>
  <c r="D66" i="10"/>
  <c r="D188" i="10"/>
  <c r="D129" i="10"/>
  <c r="D70" i="10"/>
  <c r="D26" i="10"/>
  <c r="E100" i="9"/>
  <c r="F375" i="12" s="1"/>
  <c r="E166" i="9"/>
  <c r="F526" i="12" s="1"/>
  <c r="E87" i="9"/>
  <c r="F335" i="12" s="1"/>
  <c r="E71" i="9"/>
  <c r="F241" i="12" s="1"/>
  <c r="E70" i="9"/>
  <c r="F236" i="12" s="1"/>
  <c r="E213" i="9"/>
  <c r="F643" i="12" s="1"/>
  <c r="E197" i="9"/>
  <c r="F608" i="12" s="1"/>
  <c r="D117" i="10"/>
  <c r="D58" i="10"/>
  <c r="D148" i="10"/>
  <c r="D89" i="10"/>
  <c r="D179" i="10"/>
  <c r="D136" i="10"/>
  <c r="D45" i="10"/>
  <c r="D50" i="10"/>
  <c r="D172" i="10"/>
  <c r="D113" i="10"/>
  <c r="D54" i="10"/>
  <c r="D31" i="10"/>
  <c r="F561" i="12"/>
  <c r="E11" i="9"/>
  <c r="E42" i="9"/>
  <c r="F157" i="12" s="1"/>
  <c r="E200" i="9"/>
  <c r="E110" i="9"/>
  <c r="F371" i="12" s="1"/>
  <c r="E90" i="9"/>
  <c r="F354" i="12" s="1"/>
  <c r="E47" i="9"/>
  <c r="F172" i="12" s="1"/>
  <c r="E55" i="9"/>
  <c r="F195" i="12" s="1"/>
  <c r="D202" i="10"/>
  <c r="D111" i="10"/>
  <c r="D36" i="10"/>
  <c r="D158" i="10"/>
  <c r="D67" i="10"/>
  <c r="D189" i="10"/>
  <c r="D194" i="10"/>
  <c r="D135" i="10"/>
  <c r="D60" i="10"/>
  <c r="D198" i="10"/>
  <c r="D197" i="11"/>
  <c r="D191" i="11"/>
  <c r="D55" i="11"/>
  <c r="D70" i="11"/>
  <c r="D21" i="11"/>
  <c r="D137" i="11"/>
  <c r="D120" i="11"/>
  <c r="D171" i="11"/>
  <c r="D186" i="11"/>
  <c r="D143" i="11"/>
  <c r="D84" i="11"/>
  <c r="D121" i="11"/>
  <c r="D110" i="11"/>
  <c r="D67" i="11"/>
  <c r="D104" i="11"/>
  <c r="D50" i="11"/>
  <c r="D188" i="11"/>
  <c r="D91" i="11"/>
  <c r="D198" i="11"/>
  <c r="D22" i="11"/>
  <c r="D148" i="11"/>
  <c r="D158" i="11"/>
  <c r="D49" i="11"/>
  <c r="D175" i="11"/>
  <c r="D142" i="11"/>
  <c r="D82" i="11"/>
  <c r="D170" i="11"/>
  <c r="D127" i="11"/>
  <c r="D68" i="11"/>
  <c r="D105" i="11"/>
  <c r="D94" i="11"/>
  <c r="D51" i="11"/>
  <c r="D88" i="11"/>
  <c r="D109" i="11"/>
  <c r="D34" i="11"/>
  <c r="D75" i="11"/>
  <c r="D192" i="11"/>
  <c r="D53" i="11"/>
  <c r="D44" i="11"/>
  <c r="D39" i="11"/>
  <c r="D202" i="11"/>
  <c r="D126" i="11"/>
  <c r="D107" i="11"/>
  <c r="D154" i="11"/>
  <c r="D111" i="11"/>
  <c r="D52" i="11"/>
  <c r="D89" i="11"/>
  <c r="D78" i="11"/>
  <c r="D35" i="11"/>
  <c r="D72" i="11"/>
  <c r="D93" i="11"/>
  <c r="D199" i="11"/>
  <c r="D172" i="11"/>
  <c r="D27" i="11"/>
  <c r="D182" i="11"/>
  <c r="D176" i="11"/>
  <c r="D114" i="11"/>
  <c r="D98" i="11"/>
  <c r="D159" i="11"/>
  <c r="D125" i="11"/>
  <c r="D138" i="11"/>
  <c r="D95" i="11"/>
  <c r="D36" i="11"/>
  <c r="D73" i="11"/>
  <c r="D62" i="11"/>
  <c r="D19" i="11"/>
  <c r="D56" i="11"/>
  <c r="D77" i="11"/>
  <c r="D193" i="11"/>
  <c r="D160" i="11"/>
  <c r="D33" i="11"/>
  <c r="D100" i="11"/>
  <c r="D66" i="11"/>
  <c r="D38" i="11"/>
  <c r="D181" i="11"/>
  <c r="D122" i="11"/>
  <c r="D79" i="11"/>
  <c r="D20" i="11"/>
  <c r="D57" i="11"/>
  <c r="D46" i="11"/>
  <c r="D200" i="11"/>
  <c r="D40" i="11"/>
  <c r="D61" i="11"/>
  <c r="D183" i="11"/>
  <c r="D156" i="11"/>
  <c r="D177" i="11"/>
  <c r="D166" i="11"/>
  <c r="D144" i="11"/>
  <c r="D153" i="11"/>
  <c r="D131" i="11"/>
  <c r="D136" i="11"/>
  <c r="D86" i="11"/>
  <c r="D116" i="11"/>
  <c r="D99" i="11"/>
  <c r="D187" i="11"/>
  <c r="D165" i="11"/>
  <c r="D106" i="11"/>
  <c r="D63" i="11"/>
  <c r="D123" i="11"/>
  <c r="D41" i="11"/>
  <c r="D30" i="11"/>
  <c r="D24" i="11"/>
  <c r="D45" i="11"/>
  <c r="D167" i="11"/>
  <c r="D161" i="11"/>
  <c r="D128" i="11"/>
  <c r="D37" i="11"/>
  <c r="D132" i="11"/>
  <c r="D28" i="11"/>
  <c r="D83" i="11"/>
  <c r="D149" i="11"/>
  <c r="D90" i="11"/>
  <c r="D47" i="11"/>
  <c r="D201" i="11"/>
  <c r="D25" i="11"/>
  <c r="D59" i="11"/>
  <c r="D184" i="11"/>
  <c r="D29" i="11"/>
  <c r="D151" i="11"/>
  <c r="D140" i="11"/>
  <c r="D145" i="11"/>
  <c r="D150" i="11"/>
  <c r="D112" i="11"/>
  <c r="D135" i="11"/>
  <c r="D124" i="11"/>
  <c r="D129" i="11"/>
  <c r="D96" i="11"/>
  <c r="D155" i="11"/>
  <c r="D117" i="11"/>
  <c r="D58" i="11"/>
  <c r="D139" i="11"/>
  <c r="D185" i="11"/>
  <c r="D190" i="11"/>
  <c r="D195" i="11"/>
  <c r="D168" i="11"/>
  <c r="D178" i="11"/>
  <c r="D119" i="11"/>
  <c r="D108" i="11"/>
  <c r="D113" i="11"/>
  <c r="D134" i="11"/>
  <c r="D80" i="11"/>
  <c r="D189" i="11"/>
  <c r="D101" i="11"/>
  <c r="D42" i="11"/>
  <c r="D196" i="11"/>
  <c r="D179" i="11"/>
  <c r="D173" i="11"/>
  <c r="D162" i="11"/>
  <c r="D103" i="11"/>
  <c r="D92" i="11"/>
  <c r="D97" i="11"/>
  <c r="D64" i="11"/>
  <c r="D115" i="11"/>
  <c r="D23" i="11"/>
  <c r="D54" i="11"/>
  <c r="D74" i="11"/>
  <c r="D85" i="11"/>
  <c r="D26" i="11"/>
  <c r="D180" i="11"/>
  <c r="D169" i="11"/>
  <c r="D174" i="11"/>
  <c r="D163" i="11"/>
  <c r="D152" i="11"/>
  <c r="D146" i="11"/>
  <c r="D87" i="11"/>
  <c r="D76" i="11"/>
  <c r="D81" i="11"/>
  <c r="D118" i="11"/>
  <c r="D48" i="11"/>
  <c r="D141" i="11"/>
  <c r="D133" i="11"/>
  <c r="D31" i="11"/>
  <c r="D43" i="11"/>
  <c r="D194" i="11"/>
  <c r="D69" i="11"/>
  <c r="D164" i="11"/>
  <c r="D147" i="11"/>
  <c r="D157" i="11"/>
  <c r="D130" i="11"/>
  <c r="D71" i="11"/>
  <c r="D60" i="11"/>
  <c r="D65" i="11"/>
  <c r="D102" i="11"/>
  <c r="D14" i="11"/>
  <c r="D8" i="11"/>
  <c r="D13" i="11"/>
  <c r="D18" i="11"/>
  <c r="D7" i="11"/>
  <c r="D12" i="11"/>
  <c r="D17" i="11"/>
  <c r="D6" i="11"/>
  <c r="D11" i="11"/>
  <c r="D16" i="11"/>
  <c r="D10" i="11"/>
  <c r="D15" i="11"/>
  <c r="D9" i="11"/>
  <c r="D15" i="10"/>
  <c r="D9" i="10"/>
  <c r="D14" i="10"/>
  <c r="D19" i="10"/>
  <c r="D8" i="10"/>
  <c r="D13" i="10"/>
  <c r="D18" i="10"/>
  <c r="D7" i="10"/>
  <c r="D12" i="10"/>
  <c r="D17" i="10"/>
  <c r="E6" i="10"/>
  <c r="F3" i="12" s="1"/>
  <c r="D6" i="10"/>
  <c r="D11" i="10"/>
  <c r="D16" i="10"/>
  <c r="D10" i="10"/>
  <c r="E13" i="10"/>
  <c r="F36" i="12" s="1"/>
  <c r="E19" i="10"/>
  <c r="F32" i="12" s="1"/>
  <c r="E14" i="10"/>
  <c r="F37" i="12" s="1"/>
  <c r="E9" i="10"/>
  <c r="E15" i="10"/>
  <c r="F50" i="12" s="1"/>
  <c r="E10" i="10"/>
  <c r="D196" i="9"/>
  <c r="D190" i="9"/>
  <c r="D195" i="9"/>
  <c r="D184" i="9"/>
  <c r="D178" i="9"/>
  <c r="D183" i="9"/>
  <c r="D188" i="9"/>
  <c r="D129" i="9"/>
  <c r="D150" i="9"/>
  <c r="D155" i="9"/>
  <c r="D144" i="9"/>
  <c r="D111" i="9"/>
  <c r="E95" i="9"/>
  <c r="F323" i="12" s="1"/>
  <c r="D180" i="9"/>
  <c r="D169" i="9"/>
  <c r="D179" i="9"/>
  <c r="D189" i="9"/>
  <c r="D162" i="9"/>
  <c r="D172" i="9"/>
  <c r="D113" i="9"/>
  <c r="D134" i="9"/>
  <c r="D139" i="9"/>
  <c r="D128" i="9"/>
  <c r="D149" i="9"/>
  <c r="D95" i="9"/>
  <c r="D62" i="9"/>
  <c r="E19" i="9"/>
  <c r="F52" i="12" s="1"/>
  <c r="D164" i="9"/>
  <c r="D174" i="9"/>
  <c r="D163" i="9"/>
  <c r="D168" i="9"/>
  <c r="D146" i="9"/>
  <c r="D167" i="9"/>
  <c r="D156" i="9"/>
  <c r="D97" i="9"/>
  <c r="D118" i="9"/>
  <c r="D123" i="9"/>
  <c r="D112" i="9"/>
  <c r="D133" i="9"/>
  <c r="D79" i="9"/>
  <c r="E64" i="9"/>
  <c r="F227" i="12" s="1"/>
  <c r="E175" i="9"/>
  <c r="F555" i="12" s="1"/>
  <c r="E133" i="9"/>
  <c r="F470" i="12" s="1"/>
  <c r="E157" i="8"/>
  <c r="F562" i="12" s="1"/>
  <c r="D148" i="9"/>
  <c r="D153" i="9"/>
  <c r="D147" i="9"/>
  <c r="D173" i="9"/>
  <c r="D130" i="9"/>
  <c r="D140" i="9"/>
  <c r="D81" i="9"/>
  <c r="D102" i="9"/>
  <c r="D107" i="9"/>
  <c r="D96" i="9"/>
  <c r="D117" i="9"/>
  <c r="D63" i="9"/>
  <c r="E76" i="9"/>
  <c r="F242" i="12" s="1"/>
  <c r="E54" i="9"/>
  <c r="F194" i="12" s="1"/>
  <c r="E146" i="9"/>
  <c r="E124" i="9"/>
  <c r="F449" i="12" s="1"/>
  <c r="D132" i="9"/>
  <c r="D158" i="9"/>
  <c r="D131" i="9"/>
  <c r="D152" i="9"/>
  <c r="D114" i="9"/>
  <c r="D151" i="9"/>
  <c r="D124" i="9"/>
  <c r="D65" i="9"/>
  <c r="D86" i="9"/>
  <c r="D91" i="9"/>
  <c r="D80" i="9"/>
  <c r="D101" i="9"/>
  <c r="D47" i="9"/>
  <c r="E33" i="9"/>
  <c r="E135" i="9"/>
  <c r="F478" i="12" s="1"/>
  <c r="E103" i="9"/>
  <c r="F391" i="12" s="1"/>
  <c r="E125" i="8"/>
  <c r="F473" i="12" s="1"/>
  <c r="D116" i="9"/>
  <c r="D137" i="9"/>
  <c r="D142" i="9"/>
  <c r="D115" i="9"/>
  <c r="D136" i="9"/>
  <c r="D157" i="9"/>
  <c r="D98" i="9"/>
  <c r="D108" i="9"/>
  <c r="D49" i="9"/>
  <c r="D70" i="9"/>
  <c r="D75" i="9"/>
  <c r="D64" i="9"/>
  <c r="D85" i="9"/>
  <c r="D31" i="9"/>
  <c r="E127" i="9"/>
  <c r="F457" i="12" s="1"/>
  <c r="E45" i="9"/>
  <c r="F165" i="12" s="1"/>
  <c r="E24" i="9"/>
  <c r="F84" i="12" s="1"/>
  <c r="E125" i="9"/>
  <c r="E93" i="9"/>
  <c r="F359" i="12" s="1"/>
  <c r="E109" i="8"/>
  <c r="F406" i="12" s="1"/>
  <c r="D100" i="9"/>
  <c r="D121" i="9"/>
  <c r="D126" i="9"/>
  <c r="D99" i="9"/>
  <c r="D120" i="9"/>
  <c r="D141" i="9"/>
  <c r="D82" i="9"/>
  <c r="D135" i="9"/>
  <c r="D92" i="9"/>
  <c r="D33" i="9"/>
  <c r="D54" i="9"/>
  <c r="D59" i="9"/>
  <c r="D48" i="9"/>
  <c r="D69" i="9"/>
  <c r="D154" i="9"/>
  <c r="E34" i="9"/>
  <c r="F135" i="12" s="1"/>
  <c r="E114" i="9"/>
  <c r="F396" i="12" s="1"/>
  <c r="E82" i="9"/>
  <c r="F298" i="12" s="1"/>
  <c r="E93" i="8"/>
  <c r="D84" i="9"/>
  <c r="D105" i="9"/>
  <c r="D110" i="9"/>
  <c r="D83" i="9"/>
  <c r="D104" i="9"/>
  <c r="D125" i="9"/>
  <c r="D66" i="9"/>
  <c r="D119" i="9"/>
  <c r="D76" i="9"/>
  <c r="D186" i="9"/>
  <c r="D38" i="9"/>
  <c r="D43" i="9"/>
  <c r="D32" i="9"/>
  <c r="D53" i="9"/>
  <c r="D122" i="9"/>
  <c r="E96" i="9"/>
  <c r="F324" i="12" s="1"/>
  <c r="E25" i="9"/>
  <c r="F100" i="12" s="1"/>
  <c r="E191" i="9"/>
  <c r="E105" i="9"/>
  <c r="F355" i="12" s="1"/>
  <c r="E73" i="9"/>
  <c r="F253" i="12" s="1"/>
  <c r="D68" i="9"/>
  <c r="D89" i="9"/>
  <c r="D94" i="9"/>
  <c r="D67" i="9"/>
  <c r="D88" i="9"/>
  <c r="D109" i="9"/>
  <c r="D50" i="9"/>
  <c r="D103" i="9"/>
  <c r="D60" i="9"/>
  <c r="D214" i="9"/>
  <c r="D22" i="9"/>
  <c r="D27" i="9"/>
  <c r="D37" i="9"/>
  <c r="E86" i="9"/>
  <c r="F325" i="12" s="1"/>
  <c r="D106" i="9"/>
  <c r="E94" i="9"/>
  <c r="F322" i="12" s="1"/>
  <c r="E62" i="9"/>
  <c r="F189" i="12" s="1"/>
  <c r="D52" i="9"/>
  <c r="D73" i="9"/>
  <c r="D78" i="9"/>
  <c r="D51" i="9"/>
  <c r="D72" i="9"/>
  <c r="D93" i="9"/>
  <c r="D34" i="9"/>
  <c r="D87" i="9"/>
  <c r="D44" i="9"/>
  <c r="D202" i="9"/>
  <c r="D213" i="9"/>
  <c r="D21" i="9"/>
  <c r="E207" i="9"/>
  <c r="F621" i="12" s="1"/>
  <c r="E136" i="9"/>
  <c r="F479" i="12" s="1"/>
  <c r="E83" i="9"/>
  <c r="F267" i="12" s="1"/>
  <c r="E51" i="9"/>
  <c r="F179" i="12" s="1"/>
  <c r="E110" i="8"/>
  <c r="F414" i="12" s="1"/>
  <c r="E45" i="8"/>
  <c r="D36" i="9"/>
  <c r="D57" i="9"/>
  <c r="D46" i="9"/>
  <c r="D35" i="9"/>
  <c r="D56" i="9"/>
  <c r="D77" i="9"/>
  <c r="D18" i="9"/>
  <c r="D71" i="9"/>
  <c r="D28" i="9"/>
  <c r="D198" i="9"/>
  <c r="D203" i="9"/>
  <c r="D74" i="9"/>
  <c r="D207" i="9"/>
  <c r="E56" i="9"/>
  <c r="F201" i="12" s="1"/>
  <c r="E106" i="9"/>
  <c r="F360" i="12" s="1"/>
  <c r="E63" i="9"/>
  <c r="F224" i="12" s="1"/>
  <c r="E31" i="9"/>
  <c r="F130" i="12" s="1"/>
  <c r="D20" i="9"/>
  <c r="D41" i="9"/>
  <c r="D30" i="9"/>
  <c r="D19" i="9"/>
  <c r="D40" i="9"/>
  <c r="D61" i="9"/>
  <c r="D42" i="9"/>
  <c r="D55" i="9"/>
  <c r="D209" i="9"/>
  <c r="D58" i="9"/>
  <c r="D197" i="9"/>
  <c r="D191" i="9"/>
  <c r="D212" i="9"/>
  <c r="E18" i="9"/>
  <c r="F48" i="12" s="1"/>
  <c r="E77" i="9"/>
  <c r="F269" i="12" s="1"/>
  <c r="E26" i="9"/>
  <c r="F111" i="12" s="1"/>
  <c r="E161" i="9"/>
  <c r="E75" i="9"/>
  <c r="F266" i="12" s="1"/>
  <c r="E52" i="9"/>
  <c r="F188" i="12" s="1"/>
  <c r="E20" i="9"/>
  <c r="F59" i="12" s="1"/>
  <c r="D9" i="8"/>
  <c r="E7" i="8"/>
  <c r="F8" i="12" s="1"/>
  <c r="E159" i="8"/>
  <c r="F568" i="12" s="1"/>
  <c r="E78" i="8"/>
  <c r="F314" i="12" s="1"/>
  <c r="E13" i="8"/>
  <c r="F25" i="12" s="1"/>
  <c r="D217" i="9"/>
  <c r="D25" i="9"/>
  <c r="D138" i="9"/>
  <c r="D216" i="9"/>
  <c r="D24" i="9"/>
  <c r="D45" i="9"/>
  <c r="D215" i="9"/>
  <c r="D39" i="9"/>
  <c r="D193" i="9"/>
  <c r="D182" i="9"/>
  <c r="D187" i="9"/>
  <c r="D208" i="9"/>
  <c r="D175" i="9"/>
  <c r="E118" i="9"/>
  <c r="F440" i="12" s="1"/>
  <c r="E66" i="9"/>
  <c r="E113" i="9"/>
  <c r="F422" i="12" s="1"/>
  <c r="E147" i="9"/>
  <c r="F486" i="12" s="1"/>
  <c r="E53" i="9"/>
  <c r="F190" i="12" s="1"/>
  <c r="E32" i="9"/>
  <c r="F134" i="12" s="1"/>
  <c r="E159" i="9"/>
  <c r="F540" i="12" s="1"/>
  <c r="E172" i="8"/>
  <c r="F594" i="12" s="1"/>
  <c r="D201" i="9"/>
  <c r="D90" i="9"/>
  <c r="D170" i="9"/>
  <c r="D29" i="9"/>
  <c r="D23" i="9"/>
  <c r="D177" i="9"/>
  <c r="D192" i="9"/>
  <c r="D181" i="9"/>
  <c r="D159" i="9"/>
  <c r="E57" i="9"/>
  <c r="F202" i="12" s="1"/>
  <c r="E137" i="9"/>
  <c r="F454" i="12" s="1"/>
  <c r="E44" i="9"/>
  <c r="F164" i="12" s="1"/>
  <c r="E22" i="9"/>
  <c r="E74" i="9"/>
  <c r="F225" i="12" s="1"/>
  <c r="E171" i="8"/>
  <c r="F593" i="12" s="1"/>
  <c r="D206" i="9"/>
  <c r="D26" i="9"/>
  <c r="D200" i="9"/>
  <c r="D210" i="9"/>
  <c r="D199" i="9"/>
  <c r="D161" i="9"/>
  <c r="D166" i="9"/>
  <c r="D171" i="9"/>
  <c r="D176" i="9"/>
  <c r="D143" i="9"/>
  <c r="E177" i="9"/>
  <c r="E126" i="9"/>
  <c r="F432" i="12" s="1"/>
  <c r="E23" i="9"/>
  <c r="F77" i="12" s="1"/>
  <c r="E43" i="9"/>
  <c r="F158" i="12" s="1"/>
  <c r="E30" i="8"/>
  <c r="F79" i="12" s="1"/>
  <c r="E91" i="8"/>
  <c r="F347" i="12" s="1"/>
  <c r="D218" i="9"/>
  <c r="D185" i="9"/>
  <c r="D211" i="9"/>
  <c r="D205" i="9"/>
  <c r="D194" i="9"/>
  <c r="D204" i="9"/>
  <c r="D145" i="9"/>
  <c r="D160" i="9"/>
  <c r="D165" i="9"/>
  <c r="E35" i="9"/>
  <c r="F139" i="12" s="1"/>
  <c r="E115" i="9"/>
  <c r="F436" i="12" s="1"/>
  <c r="E104" i="9"/>
  <c r="E6" i="8"/>
  <c r="F6" i="12" s="1"/>
  <c r="D13" i="9"/>
  <c r="D7" i="9"/>
  <c r="D12" i="9"/>
  <c r="D17" i="9"/>
  <c r="E6" i="9"/>
  <c r="F9" i="12" s="1"/>
  <c r="D6" i="9"/>
  <c r="D11" i="9"/>
  <c r="D16" i="9"/>
  <c r="D10" i="9"/>
  <c r="D15" i="9"/>
  <c r="D9" i="9"/>
  <c r="D14" i="9"/>
  <c r="D8" i="9"/>
  <c r="D157" i="8"/>
  <c r="D186" i="8"/>
  <c r="D7" i="8"/>
  <c r="D74" i="8"/>
  <c r="D25" i="8"/>
  <c r="D183" i="8"/>
  <c r="D134" i="8"/>
  <c r="D85" i="8"/>
  <c r="D36" i="8"/>
  <c r="D130" i="8"/>
  <c r="D65" i="8"/>
  <c r="D48" i="8"/>
  <c r="D31" i="8"/>
  <c r="D44" i="8"/>
  <c r="D58" i="8"/>
  <c r="D118" i="8"/>
  <c r="D69" i="8"/>
  <c r="D20" i="8"/>
  <c r="D114" i="8"/>
  <c r="D49" i="8"/>
  <c r="D32" i="8"/>
  <c r="D171" i="8"/>
  <c r="D8" i="8"/>
  <c r="D168" i="8"/>
  <c r="D119" i="8"/>
  <c r="D70" i="8"/>
  <c r="D21" i="8"/>
  <c r="D147" i="8"/>
  <c r="D66" i="8"/>
  <c r="D156" i="8"/>
  <c r="D60" i="8"/>
  <c r="D174" i="8"/>
  <c r="D141" i="8"/>
  <c r="D179" i="8"/>
  <c r="D91" i="8"/>
  <c r="D152" i="8"/>
  <c r="D103" i="8"/>
  <c r="D54" i="8"/>
  <c r="D131" i="8"/>
  <c r="D50" i="8"/>
  <c r="D76" i="8"/>
  <c r="D187" i="8"/>
  <c r="D158" i="8"/>
  <c r="D125" i="8"/>
  <c r="D172" i="8"/>
  <c r="D185" i="8"/>
  <c r="D136" i="8"/>
  <c r="D87" i="8"/>
  <c r="D38" i="8"/>
  <c r="D27" i="8"/>
  <c r="D115" i="8"/>
  <c r="D34" i="8"/>
  <c r="D28" i="8"/>
  <c r="D155" i="8"/>
  <c r="D142" i="8"/>
  <c r="D109" i="8"/>
  <c r="D124" i="8"/>
  <c r="D169" i="8"/>
  <c r="D120" i="8"/>
  <c r="D71" i="8"/>
  <c r="D22" i="8"/>
  <c r="D180" i="8"/>
  <c r="D99" i="8"/>
  <c r="D18" i="8"/>
  <c r="D139" i="8"/>
  <c r="D175" i="8"/>
  <c r="D126" i="8"/>
  <c r="D93" i="8"/>
  <c r="D153" i="8"/>
  <c r="D104" i="8"/>
  <c r="D55" i="8"/>
  <c r="D12" i="8"/>
  <c r="D164" i="8"/>
  <c r="D83" i="8"/>
  <c r="D92" i="8"/>
  <c r="D176" i="8"/>
  <c r="D159" i="8"/>
  <c r="D110" i="8"/>
  <c r="D77" i="8"/>
  <c r="D123" i="8"/>
  <c r="D98" i="8"/>
  <c r="D137" i="8"/>
  <c r="D88" i="8"/>
  <c r="D39" i="8"/>
  <c r="D75" i="8"/>
  <c r="D148" i="8"/>
  <c r="D67" i="8"/>
  <c r="D177" i="8"/>
  <c r="D160" i="8"/>
  <c r="D143" i="8"/>
  <c r="D94" i="8"/>
  <c r="D61" i="8"/>
  <c r="D17" i="8"/>
  <c r="D170" i="8"/>
  <c r="D121" i="8"/>
  <c r="D72" i="8"/>
  <c r="D23" i="8"/>
  <c r="D181" i="8"/>
  <c r="D132" i="8"/>
  <c r="D51" i="8"/>
  <c r="D161" i="8"/>
  <c r="D144" i="8"/>
  <c r="D127" i="8"/>
  <c r="D78" i="8"/>
  <c r="D45" i="8"/>
  <c r="D184" i="8"/>
  <c r="D37" i="8"/>
  <c r="D154" i="8"/>
  <c r="D105" i="8"/>
  <c r="D56" i="8"/>
  <c r="D11" i="8"/>
  <c r="D165" i="8"/>
  <c r="D116" i="8"/>
  <c r="D35" i="8"/>
  <c r="D145" i="8"/>
  <c r="D128" i="8"/>
  <c r="D111" i="8"/>
  <c r="D62" i="8"/>
  <c r="D29" i="8"/>
  <c r="D167" i="8"/>
  <c r="D15" i="8"/>
  <c r="D138" i="8"/>
  <c r="D89" i="8"/>
  <c r="D40" i="8"/>
  <c r="D59" i="8"/>
  <c r="D149" i="8"/>
  <c r="D100" i="8"/>
  <c r="D19" i="8"/>
  <c r="D129" i="8"/>
  <c r="D112" i="8"/>
  <c r="D95" i="8"/>
  <c r="D46" i="8"/>
  <c r="D13" i="8"/>
  <c r="D42" i="8"/>
  <c r="D151" i="8"/>
  <c r="D102" i="8"/>
  <c r="D53" i="8"/>
  <c r="D33" i="8"/>
  <c r="D16" i="8"/>
  <c r="D173" i="8"/>
  <c r="D82" i="8"/>
  <c r="D122" i="8"/>
  <c r="D73" i="8"/>
  <c r="D24" i="8"/>
  <c r="D182" i="8"/>
  <c r="D133" i="8"/>
  <c r="D84" i="8"/>
  <c r="D178" i="8"/>
  <c r="D113" i="8"/>
  <c r="D96" i="8"/>
  <c r="D79" i="8"/>
  <c r="D30" i="8"/>
  <c r="D108" i="8"/>
  <c r="D86" i="8"/>
  <c r="D106" i="8"/>
  <c r="D57" i="8"/>
  <c r="D10" i="8"/>
  <c r="D166" i="8"/>
  <c r="D117" i="8"/>
  <c r="D68" i="8"/>
  <c r="D162" i="8"/>
  <c r="D97" i="8"/>
  <c r="D80" i="8"/>
  <c r="D63" i="8"/>
  <c r="D14" i="8"/>
  <c r="D43" i="8"/>
  <c r="D26" i="8"/>
  <c r="D135" i="8"/>
  <c r="D163" i="8"/>
  <c r="D90" i="8"/>
  <c r="D41" i="8"/>
  <c r="D107" i="8"/>
  <c r="D150" i="8"/>
  <c r="D101" i="8"/>
  <c r="D52" i="8"/>
  <c r="D146" i="8"/>
  <c r="D81" i="8"/>
  <c r="D64" i="8"/>
  <c r="D47" i="8"/>
  <c r="D140" i="8"/>
  <c r="F19" i="12" l="1"/>
  <c r="F513" i="12"/>
  <c r="F153" i="12"/>
  <c r="F137" i="12"/>
  <c r="F145" i="12"/>
  <c r="F645" i="12"/>
  <c r="F543" i="12"/>
  <c r="F204" i="12"/>
  <c r="F423" i="12"/>
  <c r="F55" i="12"/>
  <c r="F419" i="12"/>
  <c r="F592" i="12"/>
  <c r="F317" i="12"/>
  <c r="F531" i="12"/>
  <c r="F430" i="12"/>
  <c r="F43" i="12"/>
  <c r="F595" i="12"/>
  <c r="F12" i="12"/>
  <c r="F20" i="12"/>
  <c r="F579" i="12"/>
  <c r="F352" i="12"/>
  <c r="F557" i="12"/>
  <c r="F483" i="12"/>
  <c r="F119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<sst xmlns="http://schemas.openxmlformats.org/spreadsheetml/2006/main" count="5215" uniqueCount="1669">
  <si>
    <t>ID</t>
  </si>
  <si>
    <t>Player</t>
  </si>
  <si>
    <t>Team</t>
  </si>
  <si>
    <t>Position</t>
  </si>
  <si>
    <t>Status</t>
  </si>
  <si>
    <t>Salary</t>
  </si>
  <si>
    <t>FP/G</t>
  </si>
  <si>
    <t>*02f9l*</t>
  </si>
  <si>
    <t>Nathan MacKinnon</t>
  </si>
  <si>
    <t>COL</t>
  </si>
  <si>
    <t>C</t>
  </si>
  <si>
    <t>*03jxy*</t>
  </si>
  <si>
    <t>Auston Matthews</t>
  </si>
  <si>
    <t>TOR</t>
  </si>
  <si>
    <t>*03rh3*</t>
  </si>
  <si>
    <t>Kirill Kaprizov</t>
  </si>
  <si>
    <t>MIN</t>
  </si>
  <si>
    <t>LW</t>
  </si>
  <si>
    <t>*03d12*</t>
  </si>
  <si>
    <t>David Pastrnak</t>
  </si>
  <si>
    <t>BOS</t>
  </si>
  <si>
    <t>RW</t>
  </si>
  <si>
    <t>*02un4*</t>
  </si>
  <si>
    <t>Connor McDavid</t>
  </si>
  <si>
    <t>EDM</t>
  </si>
  <si>
    <t>*02b70*</t>
  </si>
  <si>
    <t>Nikita Kucherov</t>
  </si>
  <si>
    <t>TBL</t>
  </si>
  <si>
    <t>*03mn9*</t>
  </si>
  <si>
    <t>Mikko Rantanen</t>
  </si>
  <si>
    <t>C,RW</t>
  </si>
  <si>
    <t>*03bfj*</t>
  </si>
  <si>
    <t>Artemi Panarin</t>
  </si>
  <si>
    <t>NYR</t>
  </si>
  <si>
    <t>*00qru*</t>
  </si>
  <si>
    <t>Steven Stamkos</t>
  </si>
  <si>
    <t>NSH</t>
  </si>
  <si>
    <t>C,LW</t>
  </si>
  <si>
    <t>*004cq*</t>
  </si>
  <si>
    <t>Alex Ovechkin</t>
  </si>
  <si>
    <t>WSH</t>
  </si>
  <si>
    <t>*02ybl*</t>
  </si>
  <si>
    <t>Valeri Nichushkin</t>
  </si>
  <si>
    <t>LW,RW</t>
  </si>
  <si>
    <t>*03as8*</t>
  </si>
  <si>
    <t>Nikolaj Ehlers</t>
  </si>
  <si>
    <t>WPG</t>
  </si>
  <si>
    <t>*03e1m*</t>
  </si>
  <si>
    <t>Brayden Point</t>
  </si>
  <si>
    <t>*01c12*</t>
  </si>
  <si>
    <t>John Tavares</t>
  </si>
  <si>
    <t>*03dms*</t>
  </si>
  <si>
    <t>Kevin Fiala</t>
  </si>
  <si>
    <t>LAK</t>
  </si>
  <si>
    <t>*03kra*</t>
  </si>
  <si>
    <t>Kyle Connor</t>
  </si>
  <si>
    <t>*02fzm*</t>
  </si>
  <si>
    <t>Filip Forsberg</t>
  </si>
  <si>
    <t>*01ztp*</t>
  </si>
  <si>
    <t>Zach Hyman</t>
  </si>
  <si>
    <t>*02yjj*</t>
  </si>
  <si>
    <t>William Nylander</t>
  </si>
  <si>
    <t>*004jl*</t>
  </si>
  <si>
    <t>Brad Marchand</t>
  </si>
  <si>
    <t>*031p0*</t>
  </si>
  <si>
    <t>Jake Guentzel</t>
  </si>
  <si>
    <t>*02yjl*</t>
  </si>
  <si>
    <t>Leon Draisaitl</t>
  </si>
  <si>
    <t>*02ni5*</t>
  </si>
  <si>
    <t>Jonathan Marchessault</t>
  </si>
  <si>
    <t>*03167*</t>
  </si>
  <si>
    <t>Bo Horvat</t>
  </si>
  <si>
    <t>NYI</t>
  </si>
  <si>
    <t>*03ra8*</t>
  </si>
  <si>
    <t>Timo Meier</t>
  </si>
  <si>
    <t>NJD</t>
  </si>
  <si>
    <t>*00454*</t>
  </si>
  <si>
    <t>Sidney Crosby</t>
  </si>
  <si>
    <t>PIT</t>
  </si>
  <si>
    <t>*04kyh*</t>
  </si>
  <si>
    <t>Brady Tkachuk</t>
  </si>
  <si>
    <t>OTT</t>
  </si>
  <si>
    <t>*01fx3*</t>
  </si>
  <si>
    <t>Roman Josi</t>
  </si>
  <si>
    <t>D</t>
  </si>
  <si>
    <t>*03duf*</t>
  </si>
  <si>
    <t>Dylan Larkin</t>
  </si>
  <si>
    <t>DET</t>
  </si>
  <si>
    <t>*01f5z*</t>
  </si>
  <si>
    <t>Chris Kreider</t>
  </si>
  <si>
    <t>*03jvu*</t>
  </si>
  <si>
    <t>Mitch Marner</t>
  </si>
  <si>
    <t>*027i6*</t>
  </si>
  <si>
    <t>Mika Zibanejad</t>
  </si>
  <si>
    <t>*01f3e*</t>
  </si>
  <si>
    <t>Nazem Kadri</t>
  </si>
  <si>
    <t>CGY</t>
  </si>
  <si>
    <t>*03e1n*</t>
  </si>
  <si>
    <t>Adrian Kempe</t>
  </si>
  <si>
    <t>*03rf2*</t>
  </si>
  <si>
    <t>Roope Hintz</t>
  </si>
  <si>
    <t>DAL</t>
  </si>
  <si>
    <t>*03as6*</t>
  </si>
  <si>
    <t>Jared McCann</t>
  </si>
  <si>
    <t>SEA</t>
  </si>
  <si>
    <t>*03uzr*</t>
  </si>
  <si>
    <t>Matthew Tkachuk</t>
  </si>
  <si>
    <t>FLA</t>
  </si>
  <si>
    <t>*02uws*</t>
  </si>
  <si>
    <t>Mathew Barzal</t>
  </si>
  <si>
    <t>*04dwj*</t>
  </si>
  <si>
    <t>Jason Robertson</t>
  </si>
  <si>
    <t>*03ne3*</t>
  </si>
  <si>
    <t>Frank Vatrano</t>
  </si>
  <si>
    <t>ANA</t>
  </si>
  <si>
    <t>*03924*</t>
  </si>
  <si>
    <t>Jack Eichel</t>
  </si>
  <si>
    <t>VGK</t>
  </si>
  <si>
    <t>*01whl*</t>
  </si>
  <si>
    <t>Jeff Skinner</t>
  </si>
  <si>
    <t>*01f3c*</t>
  </si>
  <si>
    <t>Evander Kane</t>
  </si>
  <si>
    <t>*031p3*</t>
  </si>
  <si>
    <t>Carter Verhaeghe</t>
  </si>
  <si>
    <t>*031nx*</t>
  </si>
  <si>
    <t>Shea Theodore</t>
  </si>
  <si>
    <t>*01zti*</t>
  </si>
  <si>
    <t>Tyler Toffoli</t>
  </si>
  <si>
    <t>SJS</t>
  </si>
  <si>
    <t>*02aez*</t>
  </si>
  <si>
    <t>J.T. Miller</t>
  </si>
  <si>
    <t>VAN</t>
  </si>
  <si>
    <t>C,LW,RW</t>
  </si>
  <si>
    <t>*03bxl*</t>
  </si>
  <si>
    <t>Trevor Moore</t>
  </si>
  <si>
    <t>*01ex7*</t>
  </si>
  <si>
    <t>Matt Duchene</t>
  </si>
  <si>
    <t>*042t5*</t>
  </si>
  <si>
    <t>Tage Thompson</t>
  </si>
  <si>
    <t>BUF</t>
  </si>
  <si>
    <t>*02422*</t>
  </si>
  <si>
    <t>Ryan Nugent-Hopkins</t>
  </si>
  <si>
    <t>*03raf*</t>
  </si>
  <si>
    <t>Brock Boeser</t>
  </si>
  <si>
    <t>*01zql*</t>
  </si>
  <si>
    <t>Brock Nelson</t>
  </si>
  <si>
    <t>*02un7*</t>
  </si>
  <si>
    <t>Aleksander Barkov</t>
  </si>
  <si>
    <t>*038vb*</t>
  </si>
  <si>
    <t>Travis Konecny</t>
  </si>
  <si>
    <t>PHI</t>
  </si>
  <si>
    <t>*02wy7*</t>
  </si>
  <si>
    <t>Pavel Buchnevich</t>
  </si>
  <si>
    <t>STL</t>
  </si>
  <si>
    <t>*02azb*</t>
  </si>
  <si>
    <t>Mark Scheifele</t>
  </si>
  <si>
    <t>*0045k*</t>
  </si>
  <si>
    <t>Evgeni Malkin</t>
  </si>
  <si>
    <t>*02b76*</t>
  </si>
  <si>
    <t>Vincent Trocheck</t>
  </si>
  <si>
    <t>*02zpp*</t>
  </si>
  <si>
    <t>Viktor Arvidsson</t>
  </si>
  <si>
    <t>*03yh8*</t>
  </si>
  <si>
    <t>Owen Tippett</t>
  </si>
  <si>
    <t>*0042t*</t>
  </si>
  <si>
    <t>Claude Giroux</t>
  </si>
  <si>
    <t>*01f6d*</t>
  </si>
  <si>
    <t>Ryan O'Reilly</t>
  </si>
  <si>
    <t>*03rmx*</t>
  </si>
  <si>
    <t>Sebastian Aho</t>
  </si>
  <si>
    <t>CAR</t>
  </si>
  <si>
    <t>*01xfq*</t>
  </si>
  <si>
    <t>Vladimir Tarasenko</t>
  </si>
  <si>
    <t>*02un5*</t>
  </si>
  <si>
    <t>Sam Reinhart</t>
  </si>
  <si>
    <t>*01sio*</t>
  </si>
  <si>
    <t>Mats Zuccarello</t>
  </si>
  <si>
    <t>*01zvp*</t>
  </si>
  <si>
    <t>Bryan Rust</t>
  </si>
  <si>
    <t>*02nol*</t>
  </si>
  <si>
    <t>Teuvo Teravainen</t>
  </si>
  <si>
    <t>CHI</t>
  </si>
  <si>
    <t>*003kg*</t>
  </si>
  <si>
    <t>Patrick Kane</t>
  </si>
  <si>
    <t>*042ye*</t>
  </si>
  <si>
    <t>Jesper Bratt</t>
  </si>
  <si>
    <t>*02wy3*</t>
  </si>
  <si>
    <t>Elias Lindholm</t>
  </si>
  <si>
    <t>*02noe*</t>
  </si>
  <si>
    <t>Morgan Rielly</t>
  </si>
  <si>
    <t>*02nok*</t>
  </si>
  <si>
    <t>Tomas Hertl</t>
  </si>
  <si>
    <t>*048vf*</t>
  </si>
  <si>
    <t>Andrei Svechnikov</t>
  </si>
  <si>
    <t>*03de2*</t>
  </si>
  <si>
    <t>Brandon Montour</t>
  </si>
  <si>
    <t>*03v70*</t>
  </si>
  <si>
    <t>Alex DeBrincat</t>
  </si>
  <si>
    <t>*01gjz*</t>
  </si>
  <si>
    <t>Gustav Nyquist</t>
  </si>
  <si>
    <t>*003t7*</t>
  </si>
  <si>
    <t>Anze Kopitar</t>
  </si>
  <si>
    <t>*02ybk*</t>
  </si>
  <si>
    <t>Artturi Lehkonen</t>
  </si>
  <si>
    <t>*04alw*</t>
  </si>
  <si>
    <t>Cale Makar</t>
  </si>
  <si>
    <t>*042vl*</t>
  </si>
  <si>
    <t>Jordan Kyrou</t>
  </si>
  <si>
    <t>*02ybn*</t>
  </si>
  <si>
    <t>Josh Morrissey</t>
  </si>
  <si>
    <t>*00qs7*</t>
  </si>
  <si>
    <t>Jamie Benn</t>
  </si>
  <si>
    <t>*03rab*</t>
  </si>
  <si>
    <t>Jake DeBrusk</t>
  </si>
  <si>
    <t>*048x9*</t>
  </si>
  <si>
    <t>Elias Pettersson</t>
  </si>
  <si>
    <t>*04f2d*</t>
  </si>
  <si>
    <t>Drake Batherson</t>
  </si>
  <si>
    <t>*02nq3*</t>
  </si>
  <si>
    <t>Shayne Gostisbehere</t>
  </si>
  <si>
    <t>*02azf*</t>
  </si>
  <si>
    <t>Dougie Hamilton</t>
  </si>
  <si>
    <t>*03rae*</t>
  </si>
  <si>
    <t>Joel Eriksson Ek</t>
  </si>
  <si>
    <t>*042yb*</t>
  </si>
  <si>
    <t>Brandon Hagel</t>
  </si>
  <si>
    <t>*049k7*</t>
  </si>
  <si>
    <t>Martin Necas</t>
  </si>
  <si>
    <t>*03d09*</t>
  </si>
  <si>
    <t>Alex Tuch</t>
  </si>
  <si>
    <t>*039cg*</t>
  </si>
  <si>
    <t>Sam Bennett</t>
  </si>
  <si>
    <t>*02noj*</t>
  </si>
  <si>
    <t>Tom Wilson</t>
  </si>
  <si>
    <t>*048xc*</t>
  </si>
  <si>
    <t>Nick Suzuki</t>
  </si>
  <si>
    <t>MTL</t>
  </si>
  <si>
    <t>*03mn8*</t>
  </si>
  <si>
    <t>Clayton Keller</t>
  </si>
  <si>
    <t>UTA</t>
  </si>
  <si>
    <t>*02b3w*</t>
  </si>
  <si>
    <t>Boone Jenner</t>
  </si>
  <si>
    <t>CBJ</t>
  </si>
  <si>
    <t>*02unz*</t>
  </si>
  <si>
    <t>Nick Schmaltz</t>
  </si>
  <si>
    <t>*04mkd*</t>
  </si>
  <si>
    <t>Yegor Sharangovich</t>
  </si>
  <si>
    <t>*01zvf*</t>
  </si>
  <si>
    <t>Mark Stone</t>
  </si>
  <si>
    <t>*04bdb*</t>
  </si>
  <si>
    <t>Jack Hughes</t>
  </si>
  <si>
    <t>*03ec6*</t>
  </si>
  <si>
    <t>Devon Toews</t>
  </si>
  <si>
    <t>*04ad7*</t>
  </si>
  <si>
    <t>Rasmus Dahlin</t>
  </si>
  <si>
    <t>*016g3*</t>
  </si>
  <si>
    <t>Erik Karlsson</t>
  </si>
  <si>
    <t>*04apb*</t>
  </si>
  <si>
    <t>Robert Thomas</t>
  </si>
  <si>
    <t>*02fzj*</t>
  </si>
  <si>
    <t>Blake Coleman</t>
  </si>
  <si>
    <t>*031og*</t>
  </si>
  <si>
    <t>Tyler Bertuzzi</t>
  </si>
  <si>
    <t>*04mv2*</t>
  </si>
  <si>
    <t>Cole Caufield</t>
  </si>
  <si>
    <t>*03l0t*</t>
  </si>
  <si>
    <t>Pavel Zacha</t>
  </si>
  <si>
    <t>*02b6w*</t>
  </si>
  <si>
    <t>William Karlsson</t>
  </si>
  <si>
    <t>*0457f*</t>
  </si>
  <si>
    <t>Nico Hischier</t>
  </si>
  <si>
    <t>*03rik*</t>
  </si>
  <si>
    <t>Troy Terry</t>
  </si>
  <si>
    <t>*02noq*</t>
  </si>
  <si>
    <t>Michael Matheson</t>
  </si>
  <si>
    <t>*01skr*</t>
  </si>
  <si>
    <t>Mikael Granlund</t>
  </si>
  <si>
    <t>*04xec*</t>
  </si>
  <si>
    <t>Matt Boldy</t>
  </si>
  <si>
    <t>*04ld3*</t>
  </si>
  <si>
    <t>Noah Dobson</t>
  </si>
  <si>
    <t>*03rf8*</t>
  </si>
  <si>
    <t>Vince Dunn</t>
  </si>
  <si>
    <t>*0045j*</t>
  </si>
  <si>
    <t>Kris Letang</t>
  </si>
  <si>
    <t>*03ra7*</t>
  </si>
  <si>
    <t>Zach Werenski</t>
  </si>
  <si>
    <t>*04lc0*</t>
  </si>
  <si>
    <t>Evan Bouchard</t>
  </si>
  <si>
    <t>*05gvq*</t>
  </si>
  <si>
    <t>Seth Jarvis</t>
  </si>
  <si>
    <t>*02wy1*</t>
  </si>
  <si>
    <t>Jonathan Drouin</t>
  </si>
  <si>
    <t>*059e5*</t>
  </si>
  <si>
    <t>Jake Neighbours</t>
  </si>
  <si>
    <t>*02nou*</t>
  </si>
  <si>
    <t>Brady Skjei</t>
  </si>
  <si>
    <t>*03as9*</t>
  </si>
  <si>
    <t>Dylan Strome</t>
  </si>
  <si>
    <t>*01zto*</t>
  </si>
  <si>
    <t>Charlie Coyle</t>
  </si>
  <si>
    <t>*03j8l*</t>
  </si>
  <si>
    <t>Noah Hanifin</t>
  </si>
  <si>
    <t>*03wpm*</t>
  </si>
  <si>
    <t>Charlie McAvoy</t>
  </si>
  <si>
    <t>*03ecd*</t>
  </si>
  <si>
    <t>Michael Bunting</t>
  </si>
  <si>
    <t>*05gtp*</t>
  </si>
  <si>
    <t>Dawson Mercer</t>
  </si>
  <si>
    <t>*04mtp*</t>
  </si>
  <si>
    <t>Dylan Cozens</t>
  </si>
  <si>
    <t>*031p8*</t>
  </si>
  <si>
    <t>Oliver Bjorkstrand</t>
  </si>
  <si>
    <t>*01c13*</t>
  </si>
  <si>
    <t>Victor Hedman</t>
  </si>
  <si>
    <t>*015pv*</t>
  </si>
  <si>
    <t>John Carlson</t>
  </si>
  <si>
    <t>*02un6*</t>
  </si>
  <si>
    <t>Sean Monahan</t>
  </si>
  <si>
    <t>*0457b*</t>
  </si>
  <si>
    <t>Casey Mittelstadt</t>
  </si>
  <si>
    <t>*04amg*</t>
  </si>
  <si>
    <t>Alexis Lafreniere</t>
  </si>
  <si>
    <t>*04zj5*</t>
  </si>
  <si>
    <t>JJ Peterka</t>
  </si>
  <si>
    <t>*051z0*</t>
  </si>
  <si>
    <t>Tim Stutzle</t>
  </si>
  <si>
    <t>*02b81*</t>
  </si>
  <si>
    <t>Johnny Gaudreau</t>
  </si>
  <si>
    <t>*04ymt*</t>
  </si>
  <si>
    <t>Lucas Raymond</t>
  </si>
  <si>
    <t>*04lct*</t>
  </si>
  <si>
    <t>Philipp Kurashev</t>
  </si>
  <si>
    <t>*024lv*</t>
  </si>
  <si>
    <t>Mattias Ekholm</t>
  </si>
  <si>
    <t>*05r1i*</t>
  </si>
  <si>
    <t>Matty Beniers</t>
  </si>
  <si>
    <t>*04f17*</t>
  </si>
  <si>
    <t>Fabian Zetterlund</t>
  </si>
  <si>
    <t>*05g42*</t>
  </si>
  <si>
    <t>Jack Quinn</t>
  </si>
  <si>
    <t>*04y8g*</t>
  </si>
  <si>
    <t>Trevor Zegras</t>
  </si>
  <si>
    <t>*02yjp*</t>
  </si>
  <si>
    <t>Ivan Barbashev</t>
  </si>
  <si>
    <t>*03w5m*</t>
  </si>
  <si>
    <t>Gabriel Vilardi</t>
  </si>
  <si>
    <t>*03161*</t>
  </si>
  <si>
    <t>Darnell Nurse</t>
  </si>
  <si>
    <t>*031v6*</t>
  </si>
  <si>
    <t>MacKenzie Weegar</t>
  </si>
  <si>
    <t>*04lo0*</t>
  </si>
  <si>
    <t>Quinton Byfield</t>
  </si>
  <si>
    <t>*00u0m*</t>
  </si>
  <si>
    <t>Alex Pietrangelo</t>
  </si>
  <si>
    <t>*04dwk*</t>
  </si>
  <si>
    <t>Josh Norris</t>
  </si>
  <si>
    <t>*01sif*</t>
  </si>
  <si>
    <t>Tyler Seguin</t>
  </si>
  <si>
    <t>*026p4*</t>
  </si>
  <si>
    <t>Jonathan Huberdeau</t>
  </si>
  <si>
    <t>*02ytx*</t>
  </si>
  <si>
    <t>Ryan Hartman</t>
  </si>
  <si>
    <t>*00qnu*</t>
  </si>
  <si>
    <t>Drew Doughty</t>
  </si>
  <si>
    <t>*03rad*</t>
  </si>
  <si>
    <t>Thomas Chabot</t>
  </si>
  <si>
    <t>*04lcf*</t>
  </si>
  <si>
    <t>Joel Farabee</t>
  </si>
  <si>
    <t>*042w4*</t>
  </si>
  <si>
    <t>Adam Fox</t>
  </si>
  <si>
    <t>*05gd8*</t>
  </si>
  <si>
    <t>Mason McTavish</t>
  </si>
  <si>
    <t>*03yuf*</t>
  </si>
  <si>
    <t>Eeli Tolvanen</t>
  </si>
  <si>
    <t>*051lz*</t>
  </si>
  <si>
    <t>Shane Pinto</t>
  </si>
  <si>
    <t>*03mm6*</t>
  </si>
  <si>
    <t>Lawson Crouse</t>
  </si>
  <si>
    <t>*03mn5*</t>
  </si>
  <si>
    <t>Patrik Laine</t>
  </si>
  <si>
    <t>*03yg3*</t>
  </si>
  <si>
    <t>Mikhail Sergachev</t>
  </si>
  <si>
    <t>*04o0g*</t>
  </si>
  <si>
    <t>Marco Rossi</t>
  </si>
  <si>
    <t>*02dq3*</t>
  </si>
  <si>
    <t>Jacob Trouba</t>
  </si>
  <si>
    <t>*0243f*</t>
  </si>
  <si>
    <t>Seth Jones</t>
  </si>
  <si>
    <t>*04ld9*</t>
  </si>
  <si>
    <t>Kirby Dach</t>
  </si>
  <si>
    <t>*01s88*</t>
  </si>
  <si>
    <t>Adam Henrique</t>
  </si>
  <si>
    <t>*01c32*</t>
  </si>
  <si>
    <t>Brayden Schenn</t>
  </si>
  <si>
    <t>*01ztq*</t>
  </si>
  <si>
    <t>Nick Bjugstad</t>
  </si>
  <si>
    <t>*05r1l*</t>
  </si>
  <si>
    <t>William Eklund</t>
  </si>
  <si>
    <t>*03wpi*</t>
  </si>
  <si>
    <t>Pierre-Luc Dubois</t>
  </si>
  <si>
    <t>*01zu5*</t>
  </si>
  <si>
    <t>Justin Faulk</t>
  </si>
  <si>
    <t>*003tz*</t>
  </si>
  <si>
    <t>Brent Burns</t>
  </si>
  <si>
    <t>*01f66*</t>
  </si>
  <si>
    <t>Kyle Palmieri</t>
  </si>
  <si>
    <t>*051u2*</t>
  </si>
  <si>
    <t>Matias Maccelli</t>
  </si>
  <si>
    <t>*04log*</t>
  </si>
  <si>
    <t>Alexander Holtz</t>
  </si>
  <si>
    <t>*03wor*</t>
  </si>
  <si>
    <t>Mason Marchment</t>
  </si>
  <si>
    <t>*05gda*</t>
  </si>
  <si>
    <t>Kent Johnson</t>
  </si>
  <si>
    <t>*04lbz*</t>
  </si>
  <si>
    <t>Quinn Hughes</t>
  </si>
  <si>
    <t>*03mqg*</t>
  </si>
  <si>
    <t>Jakob Chychrun</t>
  </si>
  <si>
    <t>*02g00*</t>
  </si>
  <si>
    <t>Aaron Ekblad</t>
  </si>
  <si>
    <t>*03ecl*</t>
  </si>
  <si>
    <t>Gustav Forsling</t>
  </si>
  <si>
    <t>*02nq2*</t>
  </si>
  <si>
    <t>Chandler Stephenson</t>
  </si>
  <si>
    <t>*04uql*</t>
  </si>
  <si>
    <t>Cole Perfetti</t>
  </si>
  <si>
    <t>*05kei*</t>
  </si>
  <si>
    <t>Lukas Reichel</t>
  </si>
  <si>
    <t>*04an5*</t>
  </si>
  <si>
    <t>Miro Heiskanen</t>
  </si>
  <si>
    <t>*02un9*</t>
  </si>
  <si>
    <t>Anthony Duclair</t>
  </si>
  <si>
    <t>*03rfx*</t>
  </si>
  <si>
    <t>Tommy Novak</t>
  </si>
  <si>
    <t>*04gek*</t>
  </si>
  <si>
    <t>Sean Durzi</t>
  </si>
  <si>
    <t>*051xf*</t>
  </si>
  <si>
    <t>Yegor Chinakhov</t>
  </si>
  <si>
    <t>*031pn*</t>
  </si>
  <si>
    <t>Nicholas Paul</t>
  </si>
  <si>
    <t>*04yqp*</t>
  </si>
  <si>
    <t>Anton Lundell</t>
  </si>
  <si>
    <t>*03nfr*</t>
  </si>
  <si>
    <t>Evan Rodrigues</t>
  </si>
  <si>
    <t>*04mv3*</t>
  </si>
  <si>
    <t>Alex Newhook</t>
  </si>
  <si>
    <t>*04ezy*</t>
  </si>
  <si>
    <t>Morgan Frost</t>
  </si>
  <si>
    <t>*004p4*</t>
  </si>
  <si>
    <t>Mikael Backlund</t>
  </si>
  <si>
    <t>*03m26*</t>
  </si>
  <si>
    <t>Conor Garland</t>
  </si>
  <si>
    <t>*01lkz*</t>
  </si>
  <si>
    <t>Taylor Hall</t>
  </si>
  <si>
    <t>*04zb4*</t>
  </si>
  <si>
    <t>Moritz Seider</t>
  </si>
  <si>
    <t>*01gjn*</t>
  </si>
  <si>
    <t>Erik Haula</t>
  </si>
  <si>
    <t>*03c9z*</t>
  </si>
  <si>
    <t>Nicolas Roy</t>
  </si>
  <si>
    <t>*03ecn*</t>
  </si>
  <si>
    <t>Dakota Joshua</t>
  </si>
  <si>
    <t>*02440*</t>
  </si>
  <si>
    <t>Anders Lee</t>
  </si>
  <si>
    <t>*042vx*</t>
  </si>
  <si>
    <t>Filip Hronek</t>
  </si>
  <si>
    <t>*03e7p*</t>
  </si>
  <si>
    <t>Travis Sanheim</t>
  </si>
  <si>
    <t>*04qve*</t>
  </si>
  <si>
    <t>K'Andre Miller</t>
  </si>
  <si>
    <t>*03e2l*</t>
  </si>
  <si>
    <t>Andrew Mangiapane</t>
  </si>
  <si>
    <t>*049ph*</t>
  </si>
  <si>
    <t>Neal Pionk</t>
  </si>
  <si>
    <t>*01f3d*</t>
  </si>
  <si>
    <t>Oliver Ekman-Larsson</t>
  </si>
  <si>
    <t>*04a9v*</t>
  </si>
  <si>
    <t>Morgan Geekie</t>
  </si>
  <si>
    <t>*02non*</t>
  </si>
  <si>
    <t>Scott Laughton</t>
  </si>
  <si>
    <t>*03rf5*</t>
  </si>
  <si>
    <t>Rasmus Andersson</t>
  </si>
  <si>
    <t>*03pax*</t>
  </si>
  <si>
    <t>Ivan Provorov</t>
  </si>
  <si>
    <t>*02nqb*</t>
  </si>
  <si>
    <t>Colton Parayko</t>
  </si>
  <si>
    <t>*02b3k*</t>
  </si>
  <si>
    <t>Phillip Danault</t>
  </si>
  <si>
    <t>*03rjq*</t>
  </si>
  <si>
    <t>Matt Roy</t>
  </si>
  <si>
    <t>*04ye7*</t>
  </si>
  <si>
    <t>Cam York</t>
  </si>
  <si>
    <t>*01mzc*</t>
  </si>
  <si>
    <t>Brayden McNabb</t>
  </si>
  <si>
    <t>*03c0c*</t>
  </si>
  <si>
    <t>Josh Manson</t>
  </si>
  <si>
    <t>*0047x*</t>
  </si>
  <si>
    <t>David Perron</t>
  </si>
  <si>
    <t>*01yj6*</t>
  </si>
  <si>
    <t>Radko Gudas</t>
  </si>
  <si>
    <t>*048t9*</t>
  </si>
  <si>
    <t>Tanner Jeannot</t>
  </si>
  <si>
    <t>*04qxy*</t>
  </si>
  <si>
    <t>Alexander Romanov</t>
  </si>
  <si>
    <t>*03dde*</t>
  </si>
  <si>
    <t>Jake Walman</t>
  </si>
  <si>
    <t>*004nk*</t>
  </si>
  <si>
    <t>Logan Couture</t>
  </si>
  <si>
    <t>*04yu6*</t>
  </si>
  <si>
    <t>Jamie Drysdale</t>
  </si>
  <si>
    <t>*03rfl*</t>
  </si>
  <si>
    <t>Anthony Cirelli</t>
  </si>
  <si>
    <t>*03yg6*</t>
  </si>
  <si>
    <t>Timothy Liljegren</t>
  </si>
  <si>
    <t>*02b3o*</t>
  </si>
  <si>
    <t>Rickard Rakell</t>
  </si>
  <si>
    <t>*020f4*</t>
  </si>
  <si>
    <t>Adam Larsson</t>
  </si>
  <si>
    <t>*03pim*</t>
  </si>
  <si>
    <t>Jeremy Lauzon</t>
  </si>
  <si>
    <t>*02o7l*</t>
  </si>
  <si>
    <t>Jaccob Slavin</t>
  </si>
  <si>
    <t>*04ldb*</t>
  </si>
  <si>
    <t>Bowen Byram</t>
  </si>
  <si>
    <t>*04yu5*</t>
  </si>
  <si>
    <t>Thomas Harley</t>
  </si>
  <si>
    <t>*02np6*</t>
  </si>
  <si>
    <t>Jake McCabe</t>
  </si>
  <si>
    <t>*05gd7*</t>
  </si>
  <si>
    <t>Cole Sillinger</t>
  </si>
  <si>
    <t>*02ib8*</t>
  </si>
  <si>
    <t>Torey Krug</t>
  </si>
  <si>
    <t>*02nof*</t>
  </si>
  <si>
    <t>Hampus Lindholm</t>
  </si>
  <si>
    <t>*02fro*</t>
  </si>
  <si>
    <t>Adam Lowry</t>
  </si>
  <si>
    <t>*05962*</t>
  </si>
  <si>
    <t>J.J. Moser</t>
  </si>
  <si>
    <t>*02wy4*</t>
  </si>
  <si>
    <t>Max Domi</t>
  </si>
  <si>
    <t>*04n4n*</t>
  </si>
  <si>
    <t>Rasmus Sandin</t>
  </si>
  <si>
    <t>*01skq*</t>
  </si>
  <si>
    <t>Cam Fowler</t>
  </si>
  <si>
    <t>*02jrw*</t>
  </si>
  <si>
    <t>Yanni Gourde</t>
  </si>
  <si>
    <t>*02o8b*</t>
  </si>
  <si>
    <t>Alexander Kerfoot</t>
  </si>
  <si>
    <t>*042xa*</t>
  </si>
  <si>
    <t>Ross Colton</t>
  </si>
  <si>
    <t>*01zt4*</t>
  </si>
  <si>
    <t>Nino Niederreiter</t>
  </si>
  <si>
    <t>*02aza*</t>
  </si>
  <si>
    <t>Ryan Strome</t>
  </si>
  <si>
    <t>*02ybj*</t>
  </si>
  <si>
    <t>Anthony Mantha</t>
  </si>
  <si>
    <t>*04osu*</t>
  </si>
  <si>
    <t>Barrett Hayton</t>
  </si>
  <si>
    <t>*01uoz*</t>
  </si>
  <si>
    <t>David Savard</t>
  </si>
  <si>
    <t>*0041m*</t>
  </si>
  <si>
    <t>Nick Foligno</t>
  </si>
  <si>
    <t>*01mzf*</t>
  </si>
  <si>
    <t>Reilly Smith</t>
  </si>
  <si>
    <t>*048x4*</t>
  </si>
  <si>
    <t>Michael Rasmussen</t>
  </si>
  <si>
    <t>*01n84*</t>
  </si>
  <si>
    <t>Alex Killorn</t>
  </si>
  <si>
    <t>*03ebb*</t>
  </si>
  <si>
    <t>Warren Foegele</t>
  </si>
  <si>
    <t>*02ybm*</t>
  </si>
  <si>
    <t>Ryan Pulock</t>
  </si>
  <si>
    <t>*03rez*</t>
  </si>
  <si>
    <t>Daniel Sprong</t>
  </si>
  <si>
    <t>*031pq*</t>
  </si>
  <si>
    <t>Andrew Copp</t>
  </si>
  <si>
    <t>*03rgp*</t>
  </si>
  <si>
    <t>Mathieu Joseph</t>
  </si>
  <si>
    <t>*04xjf*</t>
  </si>
  <si>
    <t>Owen Power</t>
  </si>
  <si>
    <t>*01xfp*</t>
  </si>
  <si>
    <t>Jaden Schwartz</t>
  </si>
  <si>
    <t>*042t7*</t>
  </si>
  <si>
    <t>Trent Frederic</t>
  </si>
  <si>
    <t>*04zo3*</t>
  </si>
  <si>
    <t>Nicholas Robertson</t>
  </si>
  <si>
    <t>*03d5e*</t>
  </si>
  <si>
    <t>Robby Fabbri</t>
  </si>
  <si>
    <t>*02dq6*</t>
  </si>
  <si>
    <t>Jean-Gabriel Pageau</t>
  </si>
  <si>
    <t>*04kyn*</t>
  </si>
  <si>
    <t>Sean Walker</t>
  </si>
  <si>
    <t>*02npb*</t>
  </si>
  <si>
    <t>Colton Sissons</t>
  </si>
  <si>
    <t>*03163*</t>
  </si>
  <si>
    <t>J.T. Compher</t>
  </si>
  <si>
    <t>*03yg4*</t>
  </si>
  <si>
    <t>Samuel Girard</t>
  </si>
  <si>
    <t>*02o70*</t>
  </si>
  <si>
    <t>Josh Anderson</t>
  </si>
  <si>
    <t>*0045u*</t>
  </si>
  <si>
    <t>Jordan Staal</t>
  </si>
  <si>
    <t>*02azg*</t>
  </si>
  <si>
    <t>Jonas Brodin</t>
  </si>
  <si>
    <t>*04zor*</t>
  </si>
  <si>
    <t>Nils Hoglander</t>
  </si>
  <si>
    <t>*00qrt*</t>
  </si>
  <si>
    <t>Max Pacioretty</t>
  </si>
  <si>
    <t>*01ztf*</t>
  </si>
  <si>
    <t>Calle Jarnkrok</t>
  </si>
  <si>
    <t>*04mto*</t>
  </si>
  <si>
    <t>Kaapo Kakko</t>
  </si>
  <si>
    <t>*031nz*</t>
  </si>
  <si>
    <t>Jason Dickinson</t>
  </si>
  <si>
    <t>*03eer*</t>
  </si>
  <si>
    <t>Jake Middleton</t>
  </si>
  <si>
    <t>*05kj5*</t>
  </si>
  <si>
    <t>Thomas Bordeleau</t>
  </si>
  <si>
    <t>*01587*</t>
  </si>
  <si>
    <t>Jordan Eberle</t>
  </si>
  <si>
    <t>*03klu*</t>
  </si>
  <si>
    <t>Garnet Hathaway</t>
  </si>
  <si>
    <t>*04f0o*</t>
  </si>
  <si>
    <t>Filip Chytil</t>
  </si>
  <si>
    <t>*015j6*</t>
  </si>
  <si>
    <t>Tyler Myers</t>
  </si>
  <si>
    <t>*02fq7*</t>
  </si>
  <si>
    <t>Dylan DeMelo</t>
  </si>
  <si>
    <t>*03rag*</t>
  </si>
  <si>
    <t>Jack Roslovic</t>
  </si>
  <si>
    <t>*04zb8*</t>
  </si>
  <si>
    <t>Phillip Tomasino</t>
  </si>
  <si>
    <t>*02iqx*</t>
  </si>
  <si>
    <t>Nick Seeler</t>
  </si>
  <si>
    <t>*01zt2*</t>
  </si>
  <si>
    <t>Kevin Hayes</t>
  </si>
  <si>
    <t>*02npz*</t>
  </si>
  <si>
    <t>Esa Lindell</t>
  </si>
  <si>
    <t>*05rev*</t>
  </si>
  <si>
    <t>Daniil Miromanov</t>
  </si>
  <si>
    <t>*025by*</t>
  </si>
  <si>
    <t>Ben Chiarot</t>
  </si>
  <si>
    <t>*02nqk*</t>
  </si>
  <si>
    <t>Erik Gustafsson</t>
  </si>
  <si>
    <t>*03daz*</t>
  </si>
  <si>
    <t>Marcus Pettersson</t>
  </si>
  <si>
    <t>*03rf7*</t>
  </si>
  <si>
    <t>Yakov Trenin</t>
  </si>
  <si>
    <t>*03ee4*</t>
  </si>
  <si>
    <t>Victor Olofsson</t>
  </si>
  <si>
    <t>*04yn0*</t>
  </si>
  <si>
    <t>Connor McMichael</t>
  </si>
  <si>
    <t>*01mke*</t>
  </si>
  <si>
    <t>Marcus Foligno</t>
  </si>
  <si>
    <t>*04f0y*</t>
  </si>
  <si>
    <t>Mario Ferraro</t>
  </si>
  <si>
    <t>*04mq1*</t>
  </si>
  <si>
    <t>Ilya Mikheyev</t>
  </si>
  <si>
    <t>*04zo0*</t>
  </si>
  <si>
    <t>Pavel Dorofeyev</t>
  </si>
  <si>
    <t>*01bw5*</t>
  </si>
  <si>
    <t>Jeff Petry</t>
  </si>
  <si>
    <t>*02wy5*</t>
  </si>
  <si>
    <t>Nikita Zadorov</t>
  </si>
  <si>
    <t>*04abd*</t>
  </si>
  <si>
    <t>Artem Zub</t>
  </si>
  <si>
    <t>*03klz*</t>
  </si>
  <si>
    <t>Darren Raddysh</t>
  </si>
  <si>
    <t>*04ln1*</t>
  </si>
  <si>
    <t>Alex Turcotte</t>
  </si>
  <si>
    <t>*03ecc*</t>
  </si>
  <si>
    <t>Danton Heinen</t>
  </si>
  <si>
    <t>*04qy3*</t>
  </si>
  <si>
    <t>Martin Fehervary</t>
  </si>
  <si>
    <t>*005hn*</t>
  </si>
  <si>
    <t>T.J. Oshie</t>
  </si>
  <si>
    <t>*02fqa*</t>
  </si>
  <si>
    <t>Ondrej Palat</t>
  </si>
  <si>
    <t>*02npl*</t>
  </si>
  <si>
    <t>Damon Severson</t>
  </si>
  <si>
    <t>*04la0*</t>
  </si>
  <si>
    <t>Adam Boqvist</t>
  </si>
  <si>
    <t>*04sy1*</t>
  </si>
  <si>
    <t>Arthur Kaliyev</t>
  </si>
  <si>
    <t>*0043s*</t>
  </si>
  <si>
    <t>James van Riemsdyk</t>
  </si>
  <si>
    <t>*02wy6*</t>
  </si>
  <si>
    <t>Andre Burakovsky</t>
  </si>
  <si>
    <t>*03rg2*</t>
  </si>
  <si>
    <t>Will Borgen</t>
  </si>
  <si>
    <t>*059e1*</t>
  </si>
  <si>
    <t>Braden Schneider</t>
  </si>
  <si>
    <t>*03dug*</t>
  </si>
  <si>
    <t>Tony DeAngelo</t>
  </si>
  <si>
    <t>*03rf3*</t>
  </si>
  <si>
    <t>Jordan Greenway</t>
  </si>
  <si>
    <t>*04ye8*</t>
  </si>
  <si>
    <t>Jordan Spence</t>
  </si>
  <si>
    <t>*0243d*</t>
  </si>
  <si>
    <t>Brandon Saad</t>
  </si>
  <si>
    <t>*01mz5*</t>
  </si>
  <si>
    <t>Dmitry Orlov</t>
  </si>
  <si>
    <t>*025me*</t>
  </si>
  <si>
    <t>Brenden Dillon</t>
  </si>
  <si>
    <t>*04lc8*</t>
  </si>
  <si>
    <t>Jesperi Kotkaniemi</t>
  </si>
  <si>
    <t>*005gi*</t>
  </si>
  <si>
    <t>Alec Martinez</t>
  </si>
  <si>
    <t>*01gjh*</t>
  </si>
  <si>
    <t>Tomas Tatar</t>
  </si>
  <si>
    <t>*02b3l*</t>
  </si>
  <si>
    <t>Vladislav Namestnikov</t>
  </si>
  <si>
    <t>*04az7*</t>
  </si>
  <si>
    <t>Alex Iafallo</t>
  </si>
  <si>
    <t>*051z1*</t>
  </si>
  <si>
    <t>Justin Barron</t>
  </si>
  <si>
    <t>*01zt0*</t>
  </si>
  <si>
    <t>Jason Zucker</t>
  </si>
  <si>
    <t>*03raj*</t>
  </si>
  <si>
    <t>Anthony Beauvillier</t>
  </si>
  <si>
    <t>*05grx*</t>
  </si>
  <si>
    <t>Drew O'Connor</t>
  </si>
  <si>
    <t>*04amv*</t>
  </si>
  <si>
    <t>Cody Glass</t>
  </si>
  <si>
    <t>*04zb6*</t>
  </si>
  <si>
    <t>Alex Vlasic</t>
  </si>
  <si>
    <t>*01mza*</t>
  </si>
  <si>
    <t>Tyson Barrie</t>
  </si>
  <si>
    <t>*03rfj*</t>
  </si>
  <si>
    <t>Keegan Kolesar</t>
  </si>
  <si>
    <t>*03eb0*</t>
  </si>
  <si>
    <t>Ryan Donato</t>
  </si>
  <si>
    <t>*03169*</t>
  </si>
  <si>
    <t>Alexander Wennberg</t>
  </si>
  <si>
    <t>*020h1*</t>
  </si>
  <si>
    <t>Justin Schultz</t>
  </si>
  <si>
    <t>*02fzd*</t>
  </si>
  <si>
    <t>Mike Reilly</t>
  </si>
  <si>
    <t>*04f1z*</t>
  </si>
  <si>
    <t>Mikey Anderson</t>
  </si>
  <si>
    <t>*005ho*</t>
  </si>
  <si>
    <t>Lars Eller</t>
  </si>
  <si>
    <t>*05h7m*</t>
  </si>
  <si>
    <t>Cole Smith</t>
  </si>
  <si>
    <t>*04ln4*</t>
  </si>
  <si>
    <t>Kiefer Sherwood</t>
  </si>
  <si>
    <t>*04qy0*</t>
  </si>
  <si>
    <t>Jack Drury</t>
  </si>
  <si>
    <t>*03rgv*</t>
  </si>
  <si>
    <t>Niko Mikkola</t>
  </si>
  <si>
    <t>*042t1*</t>
  </si>
  <si>
    <t>Luke Kunin</t>
  </si>
  <si>
    <t>*02b3h*</t>
  </si>
  <si>
    <t>Stefan Noesen</t>
  </si>
  <si>
    <t>*023wa*</t>
  </si>
  <si>
    <t>Jared Spurgeon</t>
  </si>
  <si>
    <t>*04xar*</t>
  </si>
  <si>
    <t>Rafael Harvey-Pinard</t>
  </si>
  <si>
    <t>*03kng*</t>
  </si>
  <si>
    <t>Frederick Gaudreau</t>
  </si>
  <si>
    <t>*025e1*</t>
  </si>
  <si>
    <t>Nic Dowd</t>
  </si>
  <si>
    <t>*04xef*</t>
  </si>
  <si>
    <t>Philip Broberg</t>
  </si>
  <si>
    <t>*02g05*</t>
  </si>
  <si>
    <t>Sean Kuraly</t>
  </si>
  <si>
    <t>*031pw*</t>
  </si>
  <si>
    <t>Ryan Graves</t>
  </si>
  <si>
    <t>*04sxj*</t>
  </si>
  <si>
    <t>Logan O'Connor</t>
  </si>
  <si>
    <t>*04f26*</t>
  </si>
  <si>
    <t>Alexei Toropchenko</t>
  </si>
  <si>
    <t>*01wlp*</t>
  </si>
  <si>
    <t>Erik Gudbranson</t>
  </si>
  <si>
    <t>*03vuj*</t>
  </si>
  <si>
    <t>Carl Grundstrom</t>
  </si>
  <si>
    <t>*03rj0*</t>
  </si>
  <si>
    <t>Mason Appleton</t>
  </si>
  <si>
    <t>*01uor*</t>
  </si>
  <si>
    <t>Christopher Tanev</t>
  </si>
  <si>
    <t>*03ekl*</t>
  </si>
  <si>
    <t>Vladislav Gavrikov</t>
  </si>
  <si>
    <t>*03ofm*</t>
  </si>
  <si>
    <t>Pius Suter</t>
  </si>
  <si>
    <t>*02azm*</t>
  </si>
  <si>
    <t>Connor Murphy</t>
  </si>
  <si>
    <t>*01zuf*</t>
  </si>
  <si>
    <t>Jani Hakanpaa</t>
  </si>
  <si>
    <t>*03y54*</t>
  </si>
  <si>
    <t>Michael Carcone</t>
  </si>
  <si>
    <t>*0239u*</t>
  </si>
  <si>
    <t>Tyler Johnson</t>
  </si>
  <si>
    <t>*003dv*</t>
  </si>
  <si>
    <t>Corey Perry</t>
  </si>
  <si>
    <t>*01zv1*</t>
  </si>
  <si>
    <t>Brendan Gallagher</t>
  </si>
  <si>
    <t>*03w5l*</t>
  </si>
  <si>
    <t>Oliver Wahlstrom</t>
  </si>
  <si>
    <t>*042xv*</t>
  </si>
  <si>
    <t>Mikey Eyssimont</t>
  </si>
  <si>
    <t>*04zox*</t>
  </si>
  <si>
    <t>Kaedan Korczak</t>
  </si>
  <si>
    <t>*03eeo*</t>
  </si>
  <si>
    <t>Jake Evans</t>
  </si>
  <si>
    <t>*04qzk*</t>
  </si>
  <si>
    <t>Paul Cotter</t>
  </si>
  <si>
    <t>*04amw*</t>
  </si>
  <si>
    <t>Ryan Poehling</t>
  </si>
  <si>
    <t>*01bvj*</t>
  </si>
  <si>
    <t>Ryan McDonagh</t>
  </si>
  <si>
    <t>*02dq2*</t>
  </si>
  <si>
    <t>Mathew Dumba</t>
  </si>
  <si>
    <t>*04rn8*</t>
  </si>
  <si>
    <t>Egor Zamula</t>
  </si>
  <si>
    <t>*04f0t*</t>
  </si>
  <si>
    <t>Eetu Luostarinen</t>
  </si>
  <si>
    <t>*04xav*</t>
  </si>
  <si>
    <t>Simon Benoit</t>
  </si>
  <si>
    <t>*04qvi*</t>
  </si>
  <si>
    <t>Nils Lundkvist</t>
  </si>
  <si>
    <t>*01bvd*</t>
  </si>
  <si>
    <t>Kevin Shattenkirk</t>
  </si>
  <si>
    <t>*03ddd*</t>
  </si>
  <si>
    <t>Sonny Milano</t>
  </si>
  <si>
    <t>*031uw*</t>
  </si>
  <si>
    <t>Kyle Burroughs</t>
  </si>
  <si>
    <t>*031qj*</t>
  </si>
  <si>
    <t>Connor Clifton</t>
  </si>
  <si>
    <t>*04amd*</t>
  </si>
  <si>
    <t>Peyton Krebs</t>
  </si>
  <si>
    <t>*04am9*</t>
  </si>
  <si>
    <t>Filip Zadina</t>
  </si>
  <si>
    <t>*02npd*</t>
  </si>
  <si>
    <t>Teddy Blueger</t>
  </si>
  <si>
    <t>*02h1x*</t>
  </si>
  <si>
    <t>Barclay Goodrow</t>
  </si>
  <si>
    <t>*015hz*</t>
  </si>
  <si>
    <t>Luke Schenn</t>
  </si>
  <si>
    <t>*03w5q*</t>
  </si>
  <si>
    <t>Joe Veleno</t>
  </si>
  <si>
    <t>*031nw*</t>
  </si>
  <si>
    <t>Michael McCarron</t>
  </si>
  <si>
    <t>*02npj*</t>
  </si>
  <si>
    <t>Jordan Martinook</t>
  </si>
  <si>
    <t>*03ebr*</t>
  </si>
  <si>
    <t>Michael Amadio</t>
  </si>
  <si>
    <t>*031pm*</t>
  </si>
  <si>
    <t>Miles Wood</t>
  </si>
  <si>
    <t>*0457g*</t>
  </si>
  <si>
    <t>Nicolas Hague</t>
  </si>
  <si>
    <t>*042x0*</t>
  </si>
  <si>
    <t>Brandon Duhaime</t>
  </si>
  <si>
    <t>*042xx*</t>
  </si>
  <si>
    <t>Beck Malenstyn</t>
  </si>
  <si>
    <t>*042vk*</t>
  </si>
  <si>
    <t>Andrew Peeke</t>
  </si>
  <si>
    <t>*02ybo*</t>
  </si>
  <si>
    <t>Rasmus Ristolainen</t>
  </si>
  <si>
    <t>*04lc5*</t>
  </si>
  <si>
    <t>Jack McBain</t>
  </si>
  <si>
    <t>*02azh*</t>
  </si>
  <si>
    <t>Jamie Oleksiak</t>
  </si>
  <si>
    <t>*03rew*</t>
  </si>
  <si>
    <t>Erik Cernak</t>
  </si>
  <si>
    <t>*03pd1*</t>
  </si>
  <si>
    <t>Noel Acciari</t>
  </si>
  <si>
    <t>*03res*</t>
  </si>
  <si>
    <t>Brandon Carlo</t>
  </si>
  <si>
    <t>*0457h*</t>
  </si>
  <si>
    <t>Klim Kostin</t>
  </si>
  <si>
    <t>*051tm*</t>
  </si>
  <si>
    <t>Zachary Jones</t>
  </si>
  <si>
    <t>*04lcr*</t>
  </si>
  <si>
    <t>Zach Whitecloud</t>
  </si>
  <si>
    <t>*03eca*</t>
  </si>
  <si>
    <t>Sam Lafferty</t>
  </si>
  <si>
    <t>*04f0p*</t>
  </si>
  <si>
    <t>Conor Timmins</t>
  </si>
  <si>
    <t>*042t0*</t>
  </si>
  <si>
    <t>Jake Bean</t>
  </si>
  <si>
    <t>*04f75*</t>
  </si>
  <si>
    <t>Noah Cates</t>
  </si>
  <si>
    <t>*01f64*</t>
  </si>
  <si>
    <t>Marcus Johansson</t>
  </si>
  <si>
    <t>*031oq*</t>
  </si>
  <si>
    <t>Brett Pesce</t>
  </si>
  <si>
    <t>*03wpo*</t>
  </si>
  <si>
    <t>Dante Fabbro</t>
  </si>
  <si>
    <t>*01ztr*</t>
  </si>
  <si>
    <t>Ryan Johansen</t>
  </si>
  <si>
    <t>*03rgk*</t>
  </si>
  <si>
    <t>Alex Carrier</t>
  </si>
  <si>
    <t>*031ur*</t>
  </si>
  <si>
    <t>Dominik Kubalik</t>
  </si>
  <si>
    <t>*031qn*</t>
  </si>
  <si>
    <t>Carson Soucy</t>
  </si>
  <si>
    <t>*02oak*</t>
  </si>
  <si>
    <t>Connor Brown</t>
  </si>
  <si>
    <t>*047zf*</t>
  </si>
  <si>
    <t>Alexander Barabanov</t>
  </si>
  <si>
    <t>*04lda*</t>
  </si>
  <si>
    <t>Nolan Foote</t>
  </si>
  <si>
    <t>*04lcs*</t>
  </si>
  <si>
    <t>Mattias Samuelsson</t>
  </si>
  <si>
    <t>*042vz*</t>
  </si>
  <si>
    <t>Taylor Raddysh</t>
  </si>
  <si>
    <t>*02npq*</t>
  </si>
  <si>
    <t>Adam Pelech</t>
  </si>
  <si>
    <t>*048x7*</t>
  </si>
  <si>
    <t>Juuso Valimaki</t>
  </si>
  <si>
    <t>*004jg*</t>
  </si>
  <si>
    <t>Pat Maroon</t>
  </si>
  <si>
    <t>*048xb*</t>
  </si>
  <si>
    <t>Henri Jokiharju</t>
  </si>
  <si>
    <t>*02b3t*</t>
  </si>
  <si>
    <t>Scott Mayfield</t>
  </si>
  <si>
    <t>*03w5s*</t>
  </si>
  <si>
    <t>Ryan McLeod</t>
  </si>
  <si>
    <t>*04ob4*</t>
  </si>
  <si>
    <t>Ilya Lyubushkin</t>
  </si>
  <si>
    <t>*02nq6*</t>
  </si>
  <si>
    <t>Oskar Sundqvist</t>
  </si>
  <si>
    <t>*03xmh*</t>
  </si>
  <si>
    <t>Brandon Tanev</t>
  </si>
  <si>
    <t>*02wy2*</t>
  </si>
  <si>
    <t>Curtis Lazar</t>
  </si>
  <si>
    <t>*04f0u*</t>
  </si>
  <si>
    <t>Dylan Samberg</t>
  </si>
  <si>
    <t>*042vu*</t>
  </si>
  <si>
    <t>Ryan Lindgren</t>
  </si>
  <si>
    <t>*031of*</t>
  </si>
  <si>
    <t>William Carrier</t>
  </si>
  <si>
    <t>*048x1*</t>
  </si>
  <si>
    <t>Erik Brannstrom</t>
  </si>
  <si>
    <t>*01f3l*</t>
  </si>
  <si>
    <t>Dmitry Kulikov</t>
  </si>
  <si>
    <t>*01etq*</t>
  </si>
  <si>
    <t>Nick Leddy</t>
  </si>
  <si>
    <t>*03ee1*</t>
  </si>
  <si>
    <t>Pierre Engvall</t>
  </si>
  <si>
    <t>*03rf9*</t>
  </si>
  <si>
    <t>Jonas Siegenthaler</t>
  </si>
  <si>
    <t>*04qyj*</t>
  </si>
  <si>
    <t>Jordan Harris</t>
  </si>
  <si>
    <t>*04qy7*</t>
  </si>
  <si>
    <t>Kevin Bahl</t>
  </si>
  <si>
    <t>*039ch*</t>
  </si>
  <si>
    <t>Kasperi Kapanen</t>
  </si>
  <si>
    <t>*051tx*</t>
  </si>
  <si>
    <t>Aliaksei Protas</t>
  </si>
  <si>
    <t>*03rip*</t>
  </si>
  <si>
    <t>John Marino</t>
  </si>
  <si>
    <t>*04f80*</t>
  </si>
  <si>
    <t>Morgan Barron</t>
  </si>
  <si>
    <t>*03kij*</t>
  </si>
  <si>
    <t>Liam O'Brien</t>
  </si>
  <si>
    <t>*04qvg*</t>
  </si>
  <si>
    <t>Jacob Bernard-Docker</t>
  </si>
  <si>
    <t>*04uqa*</t>
  </si>
  <si>
    <t>Vasili Podkolzin</t>
  </si>
  <si>
    <t>*003u1*</t>
  </si>
  <si>
    <t>Cal Clutterbuck</t>
  </si>
  <si>
    <t>*01g14*</t>
  </si>
  <si>
    <t>T.J. Brodie</t>
  </si>
  <si>
    <t>*01kn1*</t>
  </si>
  <si>
    <t>Evgenii Dadonov</t>
  </si>
  <si>
    <t>*05r9l*</t>
  </si>
  <si>
    <t>Justin Danforth</t>
  </si>
  <si>
    <t>*03eb3*</t>
  </si>
  <si>
    <t>Christian Dvorak</t>
  </si>
  <si>
    <t>*004j7*</t>
  </si>
  <si>
    <t>Kyle Okposo</t>
  </si>
  <si>
    <t>*003q6*</t>
  </si>
  <si>
    <t>Sam Gagner</t>
  </si>
  <si>
    <t>*042yc*</t>
  </si>
  <si>
    <t>Michael Pezzetta</t>
  </si>
  <si>
    <t>*01f3j*</t>
  </si>
  <si>
    <t>Calvin de Haan</t>
  </si>
  <si>
    <t>*02nqh*</t>
  </si>
  <si>
    <t>Andreas Athanasiou</t>
  </si>
  <si>
    <t>*02npr*</t>
  </si>
  <si>
    <t>Jimmy Vesey</t>
  </si>
  <si>
    <t>*02o8c*</t>
  </si>
  <si>
    <t>Colin Miller</t>
  </si>
  <si>
    <t>*0047m*</t>
  </si>
  <si>
    <t>Erik Johnson</t>
  </si>
  <si>
    <t>*02nqa*</t>
  </si>
  <si>
    <t>Matt Grzelcyk</t>
  </si>
  <si>
    <t>*003t3*</t>
  </si>
  <si>
    <t>Jack Johnson</t>
  </si>
  <si>
    <t>*03wpn*</t>
  </si>
  <si>
    <t>Brett Howden</t>
  </si>
  <si>
    <t>*03wnw*</t>
  </si>
  <si>
    <t>Ryan Lomberg</t>
  </si>
  <si>
    <t>*04arn*</t>
  </si>
  <si>
    <t>Pierre-Olivier Joseph</t>
  </si>
  <si>
    <t>*02i6q*</t>
  </si>
  <si>
    <t>Nate Schmidt</t>
  </si>
  <si>
    <t>*042x4*</t>
  </si>
  <si>
    <t>Noah Gregor</t>
  </si>
  <si>
    <t>*003x4*</t>
  </si>
  <si>
    <t>Ryan Suter</t>
  </si>
  <si>
    <t>*04lc6*</t>
  </si>
  <si>
    <t>Ty Dellandrea</t>
  </si>
  <si>
    <t>*04zat*</t>
  </si>
  <si>
    <t>Blake Lizotte</t>
  </si>
  <si>
    <t>*01zr6*</t>
  </si>
  <si>
    <t>Jarred Tinordi</t>
  </si>
  <si>
    <t>*00qrs*</t>
  </si>
  <si>
    <t>Zach Bogosian</t>
  </si>
  <si>
    <t>*02noi*</t>
  </si>
  <si>
    <t>Cody Ceci</t>
  </si>
  <si>
    <t>*03edt*</t>
  </si>
  <si>
    <t>Kevin Labanc</t>
  </si>
  <si>
    <t>*031s8*</t>
  </si>
  <si>
    <t>Josh Brown</t>
  </si>
  <si>
    <t>*02b3d*</t>
  </si>
  <si>
    <t>Joel Armia</t>
  </si>
  <si>
    <t>*04qyz*</t>
  </si>
  <si>
    <t>Connor Dewar</t>
  </si>
  <si>
    <t>*003t9*</t>
  </si>
  <si>
    <t>Trevor Lewis</t>
  </si>
  <si>
    <t>*02o78*</t>
  </si>
  <si>
    <t>Brett Kulak</t>
  </si>
  <si>
    <t>*03cwq*</t>
  </si>
  <si>
    <t>Conor Sheary</t>
  </si>
  <si>
    <t>*04yk3*</t>
  </si>
  <si>
    <t>Nico Sturm</t>
  </si>
  <si>
    <t>*02noh*</t>
  </si>
  <si>
    <t>Radek Faksa</t>
  </si>
  <si>
    <t>*04xcc*</t>
  </si>
  <si>
    <t>Brayden Pachal</t>
  </si>
  <si>
    <t>*03mn4*</t>
  </si>
  <si>
    <t>Sam Steel</t>
  </si>
  <si>
    <t>*01mje*</t>
  </si>
  <si>
    <t>Casey Cizikas</t>
  </si>
  <si>
    <t>*04816*</t>
  </si>
  <si>
    <t>Isac Lundestrom</t>
  </si>
  <si>
    <t>*03p3i*</t>
  </si>
  <si>
    <t>Derek Ryan</t>
  </si>
  <si>
    <t>*03wky*</t>
  </si>
  <si>
    <t>Jalen Chatfield</t>
  </si>
  <si>
    <t>*04qvj*</t>
  </si>
  <si>
    <t>Alexander Alexeyev</t>
  </si>
  <si>
    <t>*02wy8*</t>
  </si>
  <si>
    <t>Adam Erne</t>
  </si>
  <si>
    <t>*01lyi*</t>
  </si>
  <si>
    <t>Ian Cole</t>
  </si>
  <si>
    <t>*02oeo*</t>
  </si>
  <si>
    <t>Nick Jensen</t>
  </si>
  <si>
    <t>*01ztk*</t>
  </si>
  <si>
    <t>Sam Carrick</t>
  </si>
  <si>
    <t>*04l8w*</t>
  </si>
  <si>
    <t>Parker Kelly</t>
  </si>
  <si>
    <t>*04xob*</t>
  </si>
  <si>
    <t>Brett Leason</t>
  </si>
  <si>
    <t>*01mjf*</t>
  </si>
  <si>
    <t>Travis Hamonic</t>
  </si>
  <si>
    <t>*01zv2*</t>
  </si>
  <si>
    <t>Jesper Fast</t>
  </si>
  <si>
    <t>*04d2e*</t>
  </si>
  <si>
    <t>Jan Rutta</t>
  </si>
  <si>
    <t>*03mn2*</t>
  </si>
  <si>
    <t>Jesse Puljujarvi</t>
  </si>
  <si>
    <t>*04f1d*</t>
  </si>
  <si>
    <t>Johnathan Kovacevic</t>
  </si>
  <si>
    <t>*04lcx*</t>
  </si>
  <si>
    <t>Jesse Ylonen</t>
  </si>
  <si>
    <t>*04408*</t>
  </si>
  <si>
    <t>Alex Barre-Boulet</t>
  </si>
  <si>
    <t>*03eav*</t>
  </si>
  <si>
    <t>Nicolas Aube-Kubel</t>
  </si>
  <si>
    <t>*01mnw*</t>
  </si>
  <si>
    <t>Brian Dumoulin</t>
  </si>
  <si>
    <t>*031vc*</t>
  </si>
  <si>
    <t>Luke Glendening</t>
  </si>
  <si>
    <t>*02fq4*</t>
  </si>
  <si>
    <t>Nick Cousins</t>
  </si>
  <si>
    <t>*02ob1*</t>
  </si>
  <si>
    <t>Matt Benning</t>
  </si>
  <si>
    <t>*03h4z*</t>
  </si>
  <si>
    <t>Dryden Hunt</t>
  </si>
  <si>
    <t>*03rah*</t>
  </si>
  <si>
    <t>Noah Juulsen</t>
  </si>
  <si>
    <t>*05ybo*</t>
  </si>
  <si>
    <t>Nick Blankenburg</t>
  </si>
  <si>
    <t>*02yjo*</t>
  </si>
  <si>
    <t>Jakub Vrana</t>
  </si>
  <si>
    <t>*03mn7*</t>
  </si>
  <si>
    <t>Max Jones</t>
  </si>
  <si>
    <t>*01d69*</t>
  </si>
  <si>
    <t>Brendan Smith</t>
  </si>
  <si>
    <t>*03rep*</t>
  </si>
  <si>
    <t>Christian Fischer</t>
  </si>
  <si>
    <t>*031q4*</t>
  </si>
  <si>
    <t>Hudson Fasching</t>
  </si>
  <si>
    <t>*004by*</t>
  </si>
  <si>
    <t>Nicklas Backstrom</t>
  </si>
  <si>
    <t>*03w83*</t>
  </si>
  <si>
    <t>Urho Vaakanainen</t>
  </si>
  <si>
    <t>*03el4*</t>
  </si>
  <si>
    <t>Travis Boyd</t>
  </si>
  <si>
    <t>*04f29*</t>
  </si>
  <si>
    <t>Emil Bemstrom</t>
  </si>
  <si>
    <t>*0045a*</t>
  </si>
  <si>
    <t>Alex Goligoski</t>
  </si>
  <si>
    <t>*02nop*</t>
  </si>
  <si>
    <t>Olli Maatta</t>
  </si>
  <si>
    <t>*004mz*</t>
  </si>
  <si>
    <t>Ryan Reaves</t>
  </si>
  <si>
    <t>*02yli*</t>
  </si>
  <si>
    <t>Mattias Janmark</t>
  </si>
  <si>
    <t>*04lky*</t>
  </si>
  <si>
    <t>Connor Mackey</t>
  </si>
  <si>
    <t>*031q7*</t>
  </si>
  <si>
    <t>Tyler Motte</t>
  </si>
  <si>
    <t>*00477*</t>
  </si>
  <si>
    <t>Marc-Edouard Vlasic</t>
  </si>
  <si>
    <t>*02zov*</t>
  </si>
  <si>
    <t>Chad Ruhwedel</t>
  </si>
  <si>
    <t>*03e1p*</t>
  </si>
  <si>
    <t>Brendan Lemieux</t>
  </si>
  <si>
    <t>*042vt*</t>
  </si>
  <si>
    <t>Givani Smith</t>
  </si>
  <si>
    <t>*04bpi*</t>
  </si>
  <si>
    <t>David Kampf</t>
  </si>
  <si>
    <t>*048x6*</t>
  </si>
  <si>
    <t>Jesper Boqvist</t>
  </si>
  <si>
    <t>*02ycl*</t>
  </si>
  <si>
    <t>Trevor van Riemsdyk</t>
  </si>
  <si>
    <t>*042yh*</t>
  </si>
  <si>
    <t>Oskar Steen</t>
  </si>
  <si>
    <t>*04qvc*</t>
  </si>
  <si>
    <t>Liam Foudy</t>
  </si>
  <si>
    <t>*03rfa*</t>
  </si>
  <si>
    <t>Kevin Stenlund</t>
  </si>
  <si>
    <t>*03zum*</t>
  </si>
  <si>
    <t>Nathan Bastian</t>
  </si>
  <si>
    <t>*02441*</t>
  </si>
  <si>
    <t>Nicolas Deslauriers</t>
  </si>
  <si>
    <t>*03ebp*</t>
  </si>
  <si>
    <t>Mark Friedman</t>
  </si>
  <si>
    <t>*04ama*</t>
  </si>
  <si>
    <t>Grigori Denisenko</t>
  </si>
  <si>
    <t>*02yjk*</t>
  </si>
  <si>
    <t>Nic Petan</t>
  </si>
  <si>
    <t>*04zom*</t>
  </si>
  <si>
    <t>Victor Soderstrom</t>
  </si>
  <si>
    <t>*03edx*</t>
  </si>
  <si>
    <t>Sammy Blais</t>
  </si>
  <si>
    <t>*02gmm*</t>
  </si>
  <si>
    <t>Tanner Pearson</t>
  </si>
  <si>
    <t>*01zr5*</t>
  </si>
  <si>
    <t>Derek Forbort</t>
  </si>
  <si>
    <t>*02noo*</t>
  </si>
  <si>
    <t>Mark Jankowski</t>
  </si>
  <si>
    <t>*031oy*</t>
  </si>
  <si>
    <t>John Hayden</t>
  </si>
  <si>
    <t>*03wee*</t>
  </si>
  <si>
    <t>Philippe Myers</t>
  </si>
  <si>
    <t>*03rf0*</t>
  </si>
  <si>
    <t>Jansen Harkins</t>
  </si>
  <si>
    <t>*003g0*</t>
  </si>
  <si>
    <t>Milan Lucic</t>
  </si>
  <si>
    <t>*05nit*</t>
  </si>
  <si>
    <t>Isaak Phillips</t>
  </si>
  <si>
    <t>*05jpi*</t>
  </si>
  <si>
    <t>Radim Zohorna</t>
  </si>
  <si>
    <t>*01sxt*</t>
  </si>
  <si>
    <t>Nick Bonino</t>
  </si>
  <si>
    <t>*02oax*</t>
  </si>
  <si>
    <t>Vinnie Hinostroza</t>
  </si>
  <si>
    <t>*01ztg*</t>
  </si>
  <si>
    <t>Tyler Pitlick</t>
  </si>
  <si>
    <t>*04l8y*</t>
  </si>
  <si>
    <t>Mark Kastelic</t>
  </si>
  <si>
    <t>*045ch*</t>
  </si>
  <si>
    <t>Dylan Coghlan</t>
  </si>
  <si>
    <t>*039p5*</t>
  </si>
  <si>
    <t>Kale Clague</t>
  </si>
  <si>
    <t>*02b42*</t>
  </si>
  <si>
    <t>Joel Edmundson</t>
  </si>
  <si>
    <t>*04r0y*</t>
  </si>
  <si>
    <t>John Leonard</t>
  </si>
  <si>
    <t>*042wc*</t>
  </si>
  <si>
    <t>Rem Pitlick</t>
  </si>
  <si>
    <t>*01zvo*</t>
  </si>
  <si>
    <t>Austin Watson</t>
  </si>
  <si>
    <t>*02np9*</t>
  </si>
  <si>
    <t>Brock McGinn</t>
  </si>
  <si>
    <t>*00414*</t>
  </si>
  <si>
    <t>Marc Staal</t>
  </si>
  <si>
    <t>*02npg*</t>
  </si>
  <si>
    <t>Chris Tierney</t>
  </si>
  <si>
    <t>*04z0g*</t>
  </si>
  <si>
    <t>Vladislav Kolyachonok</t>
  </si>
  <si>
    <t>*03to6*</t>
  </si>
  <si>
    <t>Julien Gauthier</t>
  </si>
  <si>
    <t>*04f1m*</t>
  </si>
  <si>
    <t>Cale Fleury</t>
  </si>
  <si>
    <t>*031oi*</t>
  </si>
  <si>
    <t>Zach Sanford</t>
  </si>
  <si>
    <t>*03cyf*</t>
  </si>
  <si>
    <t>Pierre-Edouard Bellemare</t>
  </si>
  <si>
    <t>*03c9d*</t>
  </si>
  <si>
    <t>Jaycob Megna</t>
  </si>
  <si>
    <t>*042t2*</t>
  </si>
  <si>
    <t>Logan Stanley</t>
  </si>
  <si>
    <t>*031qx*</t>
  </si>
  <si>
    <t>Jonny Brodzinski</t>
  </si>
  <si>
    <t>*04qye*</t>
  </si>
  <si>
    <t>Jan Jenik</t>
  </si>
  <si>
    <t>*03dhs*</t>
  </si>
  <si>
    <t>Tomas Nosek</t>
  </si>
  <si>
    <t>*04f11*</t>
  </si>
  <si>
    <t>Jonah Gadjovich</t>
  </si>
  <si>
    <t>*042wa*</t>
  </si>
  <si>
    <t>Joey Anderson</t>
  </si>
  <si>
    <t>*04ldf*</t>
  </si>
  <si>
    <t>Rasmus Kupari</t>
  </si>
  <si>
    <t>*03p70*</t>
  </si>
  <si>
    <t>Colin White</t>
  </si>
  <si>
    <t>*03rmu*</t>
  </si>
  <si>
    <t>Joel Hanley</t>
  </si>
  <si>
    <t>*04f7a*</t>
  </si>
  <si>
    <t>Marian Studenic</t>
  </si>
  <si>
    <t>*02ir0*</t>
  </si>
  <si>
    <t>Colin Blackwell</t>
  </si>
  <si>
    <t>*02b43*</t>
  </si>
  <si>
    <t>Matt Nieto</t>
  </si>
  <si>
    <t>*02dpz*</t>
  </si>
  <si>
    <t>Zemgus Girgensons</t>
  </si>
  <si>
    <t>*03zun*</t>
  </si>
  <si>
    <t>Riley Tufte</t>
  </si>
  <si>
    <t>*02not*</t>
  </si>
  <si>
    <t>Brendan Gaunce</t>
  </si>
  <si>
    <t>*048vt*</t>
  </si>
  <si>
    <t>Zack MacEwen</t>
  </si>
  <si>
    <t>*03rgl*</t>
  </si>
  <si>
    <t>Glenn Gawdin</t>
  </si>
  <si>
    <t>*042x5*</t>
  </si>
  <si>
    <t>Jacob Moverare</t>
  </si>
  <si>
    <t>*049r7*</t>
  </si>
  <si>
    <t>Matthew Highmore</t>
  </si>
  <si>
    <t>*03c9o*</t>
  </si>
  <si>
    <t>Patrick Brown</t>
  </si>
  <si>
    <t>*0440o*</t>
  </si>
  <si>
    <t>Zachary Aston-Reese</t>
  </si>
  <si>
    <t>*043ca*</t>
  </si>
  <si>
    <t>Josh Mahura</t>
  </si>
  <si>
    <t>*03rji*</t>
  </si>
  <si>
    <t>Steven Lorentz</t>
  </si>
  <si>
    <t>*050tk*</t>
  </si>
  <si>
    <t>Joel Kiviranta</t>
  </si>
  <si>
    <t>*04f0s*</t>
  </si>
  <si>
    <t>Jaret Anderson-Dolan</t>
  </si>
  <si>
    <t>*04843*</t>
  </si>
  <si>
    <t>Mathieu Olivier</t>
  </si>
  <si>
    <t>*02npo*</t>
  </si>
  <si>
    <t>Jujhar Khaira</t>
  </si>
  <si>
    <t>*02npm*</t>
  </si>
  <si>
    <t>Devin Shore</t>
  </si>
  <si>
    <t>*03av3*</t>
  </si>
  <si>
    <t>Ryan Carpenter</t>
  </si>
  <si>
    <t>*04ap6*</t>
  </si>
  <si>
    <t>Ian Mitchell</t>
  </si>
  <si>
    <t>*03rjc*</t>
  </si>
  <si>
    <t>Boko Imama</t>
  </si>
  <si>
    <t>*039ci*</t>
  </si>
  <si>
    <t>Haydn Fleury</t>
  </si>
  <si>
    <t>*042wu*</t>
  </si>
  <si>
    <t>Victor Mete</t>
  </si>
  <si>
    <t>*04zj9*</t>
  </si>
  <si>
    <t>Ben Meyers</t>
  </si>
  <si>
    <t>*031sy*</t>
  </si>
  <si>
    <t>Anton Blidh</t>
  </si>
  <si>
    <t>*01zvi*</t>
  </si>
  <si>
    <t>Chris Wagner</t>
  </si>
  <si>
    <t>*02o7o*</t>
  </si>
  <si>
    <t>Dominic Toninato</t>
  </si>
  <si>
    <t>*03ecw*</t>
  </si>
  <si>
    <t>Oskar Lindblom</t>
  </si>
  <si>
    <t>*05rgi*</t>
  </si>
  <si>
    <t>Marc McLaughlin</t>
  </si>
  <si>
    <t>*04ris*</t>
  </si>
  <si>
    <t>Alex Steeves</t>
  </si>
  <si>
    <t>*034uz*</t>
  </si>
  <si>
    <t>Nathan Walker</t>
  </si>
  <si>
    <t>*03166*</t>
  </si>
  <si>
    <t>Robert Hagg</t>
  </si>
  <si>
    <t>*04bdc*</t>
  </si>
  <si>
    <t>Vinni Lettieri</t>
  </si>
  <si>
    <t>*04mx5*</t>
  </si>
  <si>
    <t>Tobias Bjornfot</t>
  </si>
  <si>
    <t>*02wki*</t>
  </si>
  <si>
    <t>Kurtis MacDermid</t>
  </si>
  <si>
    <t>LW,D</t>
  </si>
  <si>
    <t>*03c6x*</t>
  </si>
  <si>
    <t>Jordan Oesterle</t>
  </si>
  <si>
    <t>*04geq*</t>
  </si>
  <si>
    <t>Jake Christiansen</t>
  </si>
  <si>
    <t>*01meu*</t>
  </si>
  <si>
    <t>Robert Bortuzzo</t>
  </si>
  <si>
    <t>*04f1w*</t>
  </si>
  <si>
    <t>Jacob Bryson</t>
  </si>
  <si>
    <t>*03rgm*</t>
  </si>
  <si>
    <t>Caleb Jones</t>
  </si>
  <si>
    <t>*04f10*</t>
  </si>
  <si>
    <t>Jack Studnicka</t>
  </si>
  <si>
    <t>*0243l*</t>
  </si>
  <si>
    <t>Craig Smith</t>
  </si>
  <si>
    <t>*01lsj*</t>
  </si>
  <si>
    <t>Matt Martin</t>
  </si>
  <si>
    <t>*03p88*</t>
  </si>
  <si>
    <t>Denis Gurianov</t>
  </si>
  <si>
    <t>*048y7*</t>
  </si>
  <si>
    <t>Kevin Rooney</t>
  </si>
  <si>
    <t>*03ret*</t>
  </si>
  <si>
    <t>A.J. Greer</t>
  </si>
  <si>
    <t>*04nwz*</t>
  </si>
  <si>
    <t>Eric Robinson</t>
  </si>
  <si>
    <t>*038oe*</t>
  </si>
  <si>
    <t>Ross Johnston</t>
  </si>
  <si>
    <t>*02o88*</t>
  </si>
  <si>
    <t>Ben Hutton</t>
  </si>
  <si>
    <t>*03pcy*</t>
  </si>
  <si>
    <t>Dakota Mermis</t>
  </si>
  <si>
    <t>*01zr8*</t>
  </si>
  <si>
    <t>Jon Merrill</t>
  </si>
  <si>
    <t>*04ayi*</t>
  </si>
  <si>
    <t>Jacob MacDonald</t>
  </si>
  <si>
    <t>*03rer*</t>
  </si>
  <si>
    <t>Travis Dermott</t>
  </si>
  <si>
    <t>*04apd*</t>
  </si>
  <si>
    <t>MacKenzie Entwistle</t>
  </si>
  <si>
    <t>*03w5r*</t>
  </si>
  <si>
    <t>Tyson Jost</t>
  </si>
  <si>
    <t>*04f18*</t>
  </si>
  <si>
    <t>Jonas Rondbjerg</t>
  </si>
  <si>
    <t>*03m3m*</t>
  </si>
  <si>
    <t>Troy Stecher</t>
  </si>
  <si>
    <t>*042w3*</t>
  </si>
  <si>
    <t>William Lockwood</t>
  </si>
  <si>
    <t>*04yxi*</t>
  </si>
  <si>
    <t>Reese Johnson</t>
  </si>
  <si>
    <t>*01ztz*</t>
  </si>
  <si>
    <t>Justin Holl</t>
  </si>
  <si>
    <t>*01ci5*</t>
  </si>
  <si>
    <t>Marco Scandella</t>
  </si>
  <si>
    <t>*04bw4*</t>
  </si>
  <si>
    <t>*059e0*</t>
  </si>
  <si>
    <t>*05tur*</t>
  </si>
  <si>
    <t>*01zu8*</t>
  </si>
  <si>
    <t>*0046u*</t>
  </si>
  <si>
    <t>*05tqt*</t>
  </si>
  <si>
    <t>*01xfs*</t>
  </si>
  <si>
    <t>*04qy5*</t>
  </si>
  <si>
    <t>*04ymn*</t>
  </si>
  <si>
    <t>*05riz*</t>
  </si>
  <si>
    <t>E - FPts</t>
  </si>
  <si>
    <t>E - FP/G</t>
  </si>
  <si>
    <t>FPts</t>
  </si>
  <si>
    <t>D - FPts</t>
  </si>
  <si>
    <t>D - FP/G</t>
  </si>
  <si>
    <t>*02yjn*</t>
  </si>
  <si>
    <t>Nick Ritchie</t>
  </si>
  <si>
    <t>*04lby*</t>
  </si>
  <si>
    <t>Ty Smith</t>
  </si>
  <si>
    <t>*03rie*</t>
  </si>
  <si>
    <t>Rudolfs Balcers</t>
  </si>
  <si>
    <t>John Klingberg</t>
  </si>
  <si>
    <t>*031v2*</t>
  </si>
  <si>
    <t>Andreas Johnsson</t>
  </si>
  <si>
    <t>*04zb7*</t>
  </si>
  <si>
    <t>Ville Heinola</t>
  </si>
  <si>
    <t>*01f6j*</t>
  </si>
  <si>
    <t>Alex Chiasson</t>
  </si>
  <si>
    <t>*015ol*</t>
  </si>
  <si>
    <t>Josh Bailey</t>
  </si>
  <si>
    <t>*005is*</t>
  </si>
  <si>
    <t>Blake Wheeler</t>
  </si>
  <si>
    <t>*02ygs*</t>
  </si>
  <si>
    <t>Andrew Agozzino</t>
  </si>
  <si>
    <t>*042vw*</t>
  </si>
  <si>
    <t>Wade Allison</t>
  </si>
  <si>
    <t>*01zr7*</t>
  </si>
  <si>
    <t>Patrik Nemeth</t>
  </si>
  <si>
    <t>*03rfh*</t>
  </si>
  <si>
    <t>Guillaume Brisebois</t>
  </si>
  <si>
    <t>*03rfe*</t>
  </si>
  <si>
    <t>Kyle Capobianco</t>
  </si>
  <si>
    <t>*04obc*</t>
  </si>
  <si>
    <t>Karson Kuhlman</t>
  </si>
  <si>
    <t>*042x6*</t>
  </si>
  <si>
    <t>Riley Stillman</t>
  </si>
  <si>
    <t>*03nqk*</t>
  </si>
  <si>
    <t>Jordan Gross</t>
  </si>
  <si>
    <t>*003tl*</t>
  </si>
  <si>
    <t>Wayne Simmonds</t>
  </si>
  <si>
    <t>Evgeny Kuznetsov</t>
  </si>
  <si>
    <t>*05gsr*</t>
  </si>
  <si>
    <t>Matt Kiersted</t>
  </si>
  <si>
    <t>*03raa*</t>
  </si>
  <si>
    <t>Jakub Zboril</t>
  </si>
  <si>
    <t>*03yud*</t>
  </si>
  <si>
    <t>Dillon Dube</t>
  </si>
  <si>
    <t>*04juv*</t>
  </si>
  <si>
    <t>Sheldon Dries</t>
  </si>
  <si>
    <t>*01tf0*</t>
  </si>
  <si>
    <t>Matt Irwin</t>
  </si>
  <si>
    <t>*02fni*</t>
  </si>
  <si>
    <t>Joseph Cramarossa</t>
  </si>
  <si>
    <t>*03cyw*</t>
  </si>
  <si>
    <t>Gavin Bayreuther</t>
  </si>
  <si>
    <t>*03rgc*</t>
  </si>
  <si>
    <t>Christian Wolanin</t>
  </si>
  <si>
    <t>*042yl*</t>
  </si>
  <si>
    <t>Tanner Laczynski</t>
  </si>
  <si>
    <t>*0430g*</t>
  </si>
  <si>
    <t>Jeremy Davies</t>
  </si>
  <si>
    <t>*03zbm*</t>
  </si>
  <si>
    <t>Dan Renouf</t>
  </si>
  <si>
    <t>*02b41*</t>
  </si>
  <si>
    <t>Brett Ritchie</t>
  </si>
  <si>
    <t>*02zbg*</t>
  </si>
  <si>
    <t>Buddy Robinson</t>
  </si>
  <si>
    <t>*04l8t*</t>
  </si>
  <si>
    <t>Alex Belzile</t>
  </si>
  <si>
    <t>*031pu*</t>
  </si>
  <si>
    <t>Ben Harpur</t>
  </si>
  <si>
    <t>*03wkk*</t>
  </si>
  <si>
    <t>Lane Pederson</t>
  </si>
  <si>
    <t>*051u0*</t>
  </si>
  <si>
    <t>Tyce Thompson</t>
  </si>
  <si>
    <t>*05gzz*</t>
  </si>
  <si>
    <t>Mike Hardman</t>
  </si>
  <si>
    <t>*02fmk*</t>
  </si>
  <si>
    <t>Josh Leivo</t>
  </si>
  <si>
    <t>*05rkd*</t>
  </si>
  <si>
    <t>Jackson Cates</t>
  </si>
  <si>
    <t>*03wpl*</t>
  </si>
  <si>
    <t>Rasmus Asplund</t>
  </si>
  <si>
    <t>*04asg*</t>
  </si>
  <si>
    <t>Radim Simek</t>
  </si>
  <si>
    <t>*04f1t*</t>
  </si>
  <si>
    <t>Jack Rathbone</t>
  </si>
  <si>
    <t>*02dq5*</t>
  </si>
  <si>
    <t>Steven Fogarty</t>
  </si>
  <si>
    <t>*03rg5*</t>
  </si>
  <si>
    <t>Colton White</t>
  </si>
  <si>
    <t>*04y5d*</t>
  </si>
  <si>
    <t>Taro Hirose</t>
  </si>
  <si>
    <t>*04lcz*</t>
  </si>
  <si>
    <t>Calen Addison</t>
  </si>
  <si>
    <t>*04f0r*</t>
  </si>
  <si>
    <t>Aleksi Heponiemi</t>
  </si>
  <si>
    <t>*042vn*</t>
  </si>
  <si>
    <t>Libor Hajek</t>
  </si>
  <si>
    <t>*03rak*</t>
  </si>
  <si>
    <t>Gabriel Carlsson</t>
  </si>
  <si>
    <t>*03z94*</t>
  </si>
  <si>
    <t>Dylan Gambrell</t>
  </si>
  <si>
    <t>*03sd8*</t>
  </si>
  <si>
    <t>Lucas Carlsson</t>
  </si>
  <si>
    <t>*048yc*</t>
  </si>
  <si>
    <t>Matt Luff</t>
  </si>
  <si>
    <t>*05r3q*</t>
  </si>
  <si>
    <t>Jeffrey Viel</t>
  </si>
  <si>
    <t>*01bvm*</t>
  </si>
  <si>
    <t>Zac Dalpe</t>
  </si>
  <si>
    <t>*02dq0*</t>
  </si>
  <si>
    <t>Ryan Murray</t>
  </si>
  <si>
    <t>*042ww*</t>
  </si>
  <si>
    <t>Mikhail Maltsev</t>
  </si>
  <si>
    <t>*031qd*</t>
  </si>
  <si>
    <t>Tucker Poolman</t>
  </si>
  <si>
    <t>*042t3*</t>
  </si>
  <si>
    <t>Dennis Cholowski</t>
  </si>
  <si>
    <t>*01f6f*</t>
  </si>
  <si>
    <t>Kyle Clifford</t>
  </si>
  <si>
    <t>*03ed4*</t>
  </si>
  <si>
    <t>Anders Bjork</t>
  </si>
  <si>
    <t>*03rai*</t>
  </si>
  <si>
    <t>Jacob Larsson</t>
  </si>
  <si>
    <t>*02oe7*</t>
  </si>
  <si>
    <t>Jayson Megna</t>
  </si>
  <si>
    <t>*029vk*</t>
  </si>
  <si>
    <t>Scott Harrington</t>
  </si>
  <si>
    <t>*04qyg*</t>
  </si>
  <si>
    <t>Alec Regula</t>
  </si>
  <si>
    <t>*048wz*</t>
  </si>
  <si>
    <t>Lias Andersson</t>
  </si>
  <si>
    <t>*01mnq*</t>
  </si>
  <si>
    <t>Mike Hoffman</t>
  </si>
  <si>
    <t>*03yuc*</t>
  </si>
  <si>
    <t>Kailer Yamamoto</t>
  </si>
  <si>
    <t>*03muf*</t>
  </si>
  <si>
    <t>Drake Caggiula</t>
  </si>
  <si>
    <t>*0320x*</t>
  </si>
  <si>
    <t>Brad Hunt</t>
  </si>
  <si>
    <t>Joe Pavelski</t>
  </si>
  <si>
    <t>*01zqi*</t>
  </si>
  <si>
    <t>Riley Sheahan</t>
  </si>
  <si>
    <t>*0042j*</t>
  </si>
  <si>
    <t>Jeff Carter</t>
  </si>
  <si>
    <t>*030w0*</t>
  </si>
  <si>
    <t>Austin Czarnik</t>
  </si>
  <si>
    <t>*04ap8*</t>
  </si>
  <si>
    <t>Adam Ruzicka</t>
  </si>
  <si>
    <t>*01f6k*</t>
  </si>
  <si>
    <t>Jakob Silfverberg</t>
  </si>
  <si>
    <t>*004pk*</t>
  </si>
  <si>
    <t>Mark Giordano</t>
  </si>
  <si>
    <t>*0457d*</t>
  </si>
  <si>
    <t>Cal Foote</t>
  </si>
  <si>
    <t>*003q3*</t>
  </si>
  <si>
    <t>Andrew Cogliano</t>
  </si>
  <si>
    <t>*03cvd*</t>
  </si>
  <si>
    <t>Nikita Zaitsev</t>
  </si>
  <si>
    <t>*04f0q*</t>
  </si>
  <si>
    <t>Gustav Lindstrom</t>
  </si>
  <si>
    <t>*03wqz*</t>
  </si>
  <si>
    <t>Michael McLeod</t>
  </si>
  <si>
    <t>*051yz*</t>
  </si>
  <si>
    <t>*04o0h*</t>
  </si>
  <si>
    <t>*05kbn*</t>
  </si>
  <si>
    <t>*05r1c*</t>
  </si>
  <si>
    <t>*05ran*</t>
  </si>
  <si>
    <t>*051m4*</t>
  </si>
  <si>
    <t>*05k8c*</t>
  </si>
  <si>
    <t>*05j3d*</t>
  </si>
  <si>
    <t>*04y80*</t>
  </si>
  <si>
    <t>*04yeb*</t>
  </si>
  <si>
    <t>*05kdw*</t>
  </si>
  <si>
    <t>*04znw*</t>
  </si>
  <si>
    <t>*05nzz*</t>
  </si>
  <si>
    <t>*04r0j*</t>
  </si>
  <si>
    <t>*05ltj*</t>
  </si>
  <si>
    <t>*05gdo*</t>
  </si>
  <si>
    <t>*04mx6*</t>
  </si>
  <si>
    <t>*04r0z*</t>
  </si>
  <si>
    <t>*04pn6*</t>
  </si>
  <si>
    <t>*04f7w*</t>
  </si>
  <si>
    <t>*05kuc*</t>
  </si>
  <si>
    <t>*04r0e*</t>
  </si>
  <si>
    <t>*05x9g*</t>
  </si>
  <si>
    <t>*04xe1*</t>
  </si>
  <si>
    <t>*05lu9*</t>
  </si>
  <si>
    <t>*051wb*</t>
  </si>
  <si>
    <t>*04ld4*</t>
  </si>
  <si>
    <t>*051u4*</t>
  </si>
  <si>
    <t>*03rgh*</t>
  </si>
  <si>
    <t>*04r1c*</t>
  </si>
  <si>
    <t>*0430a*</t>
  </si>
  <si>
    <t>*05oxq*</t>
  </si>
  <si>
    <t>*03eaq*</t>
  </si>
  <si>
    <t>*03rg1*</t>
  </si>
  <si>
    <t>*04p1n*</t>
  </si>
  <si>
    <t>*03eb7*</t>
  </si>
  <si>
    <t>*051vh*</t>
  </si>
  <si>
    <t>*02np0*</t>
  </si>
  <si>
    <t>*04bjt*</t>
  </si>
  <si>
    <t>*03oyt*</t>
  </si>
  <si>
    <t>*05rjx*</t>
  </si>
  <si>
    <t>*05oxu*</t>
  </si>
  <si>
    <t>*05o4m*</t>
  </si>
  <si>
    <t>*04qzx*</t>
  </si>
  <si>
    <t>*04f7v*</t>
  </si>
  <si>
    <t>*01zub*</t>
  </si>
  <si>
    <t>*042xo*</t>
  </si>
  <si>
    <t>*05kj6*</t>
  </si>
  <si>
    <t>*04xp7*</t>
  </si>
  <si>
    <t>*060vi*</t>
  </si>
  <si>
    <t>*04amf*</t>
  </si>
  <si>
    <t>*048x8*</t>
  </si>
  <si>
    <t>*04z1e*</t>
  </si>
  <si>
    <t>*04qy6*</t>
  </si>
  <si>
    <t>Kirill Marchenko</t>
  </si>
  <si>
    <t>Wyatt Johnston</t>
  </si>
  <si>
    <t>Dylan Holloway</t>
  </si>
  <si>
    <t>Jake Sanderson</t>
  </si>
  <si>
    <t>Dylan Guenther</t>
  </si>
  <si>
    <t>Matthew Knies</t>
  </si>
  <si>
    <t>Will Cuylle</t>
  </si>
  <si>
    <t>Juraj Slafkovsky</t>
  </si>
  <si>
    <t>Ryan OReilly</t>
  </si>
  <si>
    <t>Matt Coronato</t>
  </si>
  <si>
    <t>Jackson LaCombe</t>
  </si>
  <si>
    <t>Tyson Foerster</t>
  </si>
  <si>
    <t>Bobby McMann</t>
  </si>
  <si>
    <t>Mike Matheson</t>
  </si>
  <si>
    <t>Nick Paul</t>
  </si>
  <si>
    <t>Shane Wright</t>
  </si>
  <si>
    <t>Simon Holmstrom</t>
  </si>
  <si>
    <t>Luke Hughes</t>
  </si>
  <si>
    <t>Ridly Greig</t>
  </si>
  <si>
    <t>Brandt Clarke</t>
  </si>
  <si>
    <t>Simon Edvinsson</t>
  </si>
  <si>
    <t>Michael Kesselring</t>
  </si>
  <si>
    <t>Brock Faber</t>
  </si>
  <si>
    <t>KAndre Miller</t>
  </si>
  <si>
    <t>Luke Evangelista</t>
  </si>
  <si>
    <t>Drew OConnor</t>
  </si>
  <si>
    <t>Andrei Kuzmenko</t>
  </si>
  <si>
    <t>Nick Robertson</t>
  </si>
  <si>
    <t>Kaiden Guhle</t>
  </si>
  <si>
    <t>Logan OConnor</t>
  </si>
  <si>
    <t>Cole Koepke</t>
  </si>
  <si>
    <t>Jonatan Berggren</t>
  </si>
  <si>
    <t>Nick Perbix</t>
  </si>
  <si>
    <t>Tyler Kleven</t>
  </si>
  <si>
    <t>Pontus Holmberg</t>
  </si>
  <si>
    <t>Arber Xhekaj</t>
  </si>
  <si>
    <t>Jakob Pelletier</t>
  </si>
  <si>
    <t>Wyatt Kaiser</t>
  </si>
  <si>
    <t>Juuso Parssinen</t>
  </si>
  <si>
    <t>Jakub Lauko</t>
  </si>
  <si>
    <t>Henry Thrun</t>
  </si>
  <si>
    <t>Parker Wotherspoon</t>
  </si>
  <si>
    <t>Tyler Tucker</t>
  </si>
  <si>
    <t>Vincent Desharnais</t>
  </si>
  <si>
    <t>Mikael Pyyhtia</t>
  </si>
  <si>
    <t>Andreas Englund</t>
  </si>
  <si>
    <t>Dennis Gilbert</t>
  </si>
  <si>
    <t>David Gustafsson</t>
  </si>
  <si>
    <t>Liam OBrien</t>
  </si>
  <si>
    <t>Justin Kirkland</t>
  </si>
  <si>
    <t>Nikita Nesterenko</t>
  </si>
  <si>
    <t>Phillip Di Giuseppe</t>
  </si>
  <si>
    <t>Nick DeSimone</t>
  </si>
  <si>
    <t>Anthony Richard</t>
  </si>
  <si>
    <t>Walker Duehr</t>
  </si>
  <si>
    <t>Matt Kessel</t>
  </si>
  <si>
    <t>Nils Aman</t>
  </si>
  <si>
    <t>Spencer Stastney</t>
  </si>
  <si>
    <t>Olle Lycksell</t>
  </si>
  <si>
    <t>Dylan McIlrath</t>
  </si>
  <si>
    <t>David Jiricek</t>
  </si>
  <si>
    <t>Joona Koppanen</t>
  </si>
  <si>
    <t>Danil Gushchin</t>
  </si>
  <si>
    <t>Callahan Burke</t>
  </si>
  <si>
    <t>Lucas Condotta</t>
  </si>
  <si>
    <t>Samuel Poulin</t>
  </si>
  <si>
    <t>Shane Bowers</t>
  </si>
  <si>
    <t>Jake Lucchini</t>
  </si>
  <si>
    <t>Adam Ginning</t>
  </si>
  <si>
    <t>Name</t>
  </si>
  <si>
    <t>Rank</t>
  </si>
  <si>
    <t>Above R</t>
  </si>
  <si>
    <t>Replacement Rank:</t>
  </si>
  <si>
    <t>Replacement Player:</t>
  </si>
  <si>
    <t>Replacement</t>
  </si>
  <si>
    <t>Age</t>
  </si>
  <si>
    <t>Abby</t>
  </si>
  <si>
    <t>Daniel</t>
  </si>
  <si>
    <t>Murica</t>
  </si>
  <si>
    <t>Joel</t>
  </si>
  <si>
    <t>Jason</t>
  </si>
  <si>
    <t>Adam</t>
  </si>
  <si>
    <t>Seth</t>
  </si>
  <si>
    <t>Nate</t>
  </si>
  <si>
    <t>Logan</t>
  </si>
  <si>
    <t>Chris</t>
  </si>
  <si>
    <t>Shannon</t>
  </si>
  <si>
    <t>Sam</t>
  </si>
  <si>
    <t>Isaac</t>
  </si>
  <si>
    <t>Gary</t>
  </si>
  <si>
    <t>W &lt;small&gt;(Mon)&lt;/small&gt;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</si>
</sst>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left"/>
    </xf>
    <xf numFmtId="2" fontId="0" fillId="0" borderId="0" xfId="0" applyNumberFormat="1"/>
    <xf numFmtId="0" fontId="13" fillId="34" borderId="10" xfId="0" applyFont="1" applyFill="1" applyBorder="1"/>
    <xf numFmtId="0" fontId="13" fillId="34" borderId="11" xfId="0" applyFont="1" applyFill="1" applyBorder="1"/>
    <xf numFmtId="0" fontId="13" fillId="34" borderId="11" xfId="0" applyFont="1" applyFill="1" applyBorder="1" applyAlignment="1">
      <alignment horizontal="center"/>
    </xf>
    <xf numFmtId="0" fontId="13" fillId="34" borderId="0" xfId="0" applyFont="1" applyFill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3" fontId="0" fillId="0" borderId="0" xfId="0" applyNumberFormat="1"/>
    <xf numFmtId="0" fontId="0" fillId="33" borderId="0" xfId="0" applyFill="1" applyAlignment="1">
      <alignment horizontal="center"/>
    </xf>
    <xf numFmtId="165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0" fontId="0" fillId="35" borderId="12" xfId="0" applyFill="1" applyBorder="1"/>
    <xf numFmtId="0" fontId="0" fillId="35" borderId="12" xfId="0" applyFill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164" formatCode="0.00_ ;[Red]\-0.00\ "/>
    </dxf>
    <dxf>
      <numFmt numFmtId="164" formatCode="0.00_ ;[Red]\-0.00\ 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</dxf>
    <dxf>
      <numFmt numFmtId="2" formatCode="0.00"/>
      <alignment horizontal="center" vertical="bottom" textRotation="0" wrapText="0" indent="0" justifyLastLine="0" shrinkToFit="0" readingOrder="0"/>
    </dxf>
    <dxf>
      <numFmt numFmtId="3" formatCode="#,##0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0B64F3-1078-4E5F-B220-6501934E1400}" name="Table1" displayName="Table1" ref="B2:I648" totalsRowShown="0">
  <autoFilter ref="B2:I648" xr:uid="{D60B64F3-1078-4E5F-B220-6501934E1400}"/>
  <sortState xmlns:xlrd2="http://schemas.microsoft.com/office/spreadsheetml/2017/richdata2" ref="B3:I648">
    <sortCondition descending="1" ref="I2:I648"/>
  </sortState>
  <tableColumns count="8">
    <tableColumn id="1" xr3:uid="{E82D0A87-99B5-4A0D-A39A-36218B8695B9}" name="ID"/>
    <tableColumn id="2" xr3:uid="{224DF320-E8BB-4967-B40F-BBC32591B984}" name="Player" dataDxfId="20"/>
    <tableColumn id="3" xr3:uid="{9EC0993E-76D8-411E-B328-2345881D3980}" name="Team" dataDxfId="19"/>
    <tableColumn id="4" xr3:uid="{1A629BE0-EDD9-427B-98D3-CB05858D091D}" name="Position" dataDxfId="18"/>
    <tableColumn id="5" xr3:uid="{DE78C298-B84A-4349-822B-CF5A94ED3C34}" name="Status"/>
    <tableColumn id="6" xr3:uid="{579D0913-046C-41C6-A40D-C870F91B38CC}" name="Age" dataDxfId="17"/>
    <tableColumn id="8" xr3:uid="{443300E8-5B90-471A-B350-386521ACD121}" name="Salary" dataDxfId="16"/>
    <tableColumn id="9" xr3:uid="{A7DC8125-830A-48A0-99EC-A78218181C4F}" name="FP/G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78EB99-6247-41E5-9594-56FF48D2637D}" name="Table4" displayName="Table4" ref="B2:F648" totalsRowShown="0" headerRowDxfId="14" dataDxfId="12" headerRowBorderDxfId="13">
  <autoFilter ref="B2:F648" xr:uid="{8178EB99-6247-41E5-9594-56FF48D2637D}"/>
  <sortState xmlns:xlrd2="http://schemas.microsoft.com/office/spreadsheetml/2017/richdata2" ref="B21:F648">
    <sortCondition descending="1" ref="F2:F648"/>
  </sortState>
  <tableColumns count="5">
    <tableColumn id="1" xr3:uid="{65520A37-EB4E-4E31-A225-187E6294BE41}" name="Name" dataDxfId="11"/>
    <tableColumn id="3" xr3:uid="{77607CAF-653F-43D3-8331-9E63A4CDB10A}" name="Status" dataDxfId="10">
      <calculatedColumnFormula>VLOOKUP(Table4[[#This Row],[Name]],Table1[[Player]:[Status]],4,FALSE)</calculatedColumnFormula>
    </tableColumn>
    <tableColumn id="5" xr3:uid="{A5C991EA-2DC0-48E3-B110-B5E0D0ED1C3B}" name="Position" dataDxfId="9">
      <calculatedColumnFormula>VLOOKUP(Table4[[#This Row],[Name]],Table1[[Player]:[FP/G]],3,FALSE)</calculatedColumnFormula>
    </tableColumn>
    <tableColumn id="4" xr3:uid="{D4DBD345-D345-4831-8B99-3DDE52907555}" name="Age" dataDxfId="8">
      <calculatedColumnFormula>VLOOKUP(Table4[[#This Row],[Name]],Table1[[Player]:[Age]],5,FALSE)</calculatedColumnFormula>
    </tableColumn>
    <tableColumn id="2" xr3:uid="{7BF56065-108A-4EDC-B429-A0707A56CE25}" name="Replacement" dataDxfId="7">
      <calculatedColumnFormula>MAX(
  _xlfn.IFNA(_xlfn.XLOOKUP(B3,'C'!B:B,'C'!E:E),  -1000000000),
  _xlfn.IFNA(_xlfn.XLOOKUP(B3, LW!B:B, LW!E:E), -1000000000),
  _xlfn.IFNA(_xlfn.XLOOKUP(B3, RW!B:B, RW!E:E), -1000000000),
  _xlfn.IFNA(_xlfn.XLOOKUP(B3, D!B:B,  D!E:E),  -1000000000)
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B52A27-981C-4CB3-B4A8-C47227D4404E}" name="Table2" displayName="Table2" ref="A1:H646" totalsRowShown="0" headerRowDxfId="6">
  <autoFilter ref="A1:H646" xr:uid="{D6B52A27-981C-4CB3-B4A8-C47227D4404E}"/>
  <tableColumns count="8">
    <tableColumn id="1" xr3:uid="{20DCDB12-253C-4165-B758-DDB16B8EA8F9}" name="ID"/>
    <tableColumn id="2" xr3:uid="{00C9A858-4AC9-4A70-981A-7E2B96BB7211}" name="Player"/>
    <tableColumn id="3" xr3:uid="{629B0CB5-1238-4533-81ED-6E4592F122D2}" name="E - FPts" dataDxfId="5">
      <calculatedColumnFormula>VLOOKUP(A2,'Overall Results'!$B$2:$I$543,9,FALSE)</calculatedColumnFormula>
    </tableColumn>
    <tableColumn id="4" xr3:uid="{48804CE8-8F06-457E-B71D-467A13852645}" name="E - FP/G" dataDxfId="4">
      <calculatedColumnFormula>VLOOKUP(A2,'Overall Results'!$B$2:$I$543,10,FALSE)</calculatedColumnFormula>
    </tableColumn>
    <tableColumn id="5" xr3:uid="{5FF63EAF-5EA2-445E-9661-807E52F28F50}" name="FPts" dataDxfId="3"/>
    <tableColumn id="6" xr3:uid="{4DF60C6B-2748-4F8D-9CC9-44AA73772B45}" name="FP/G" dataDxfId="2"/>
    <tableColumn id="7" xr3:uid="{3AA01697-1A85-431B-A2CD-5883D4ECF517}" name="D - FPts" dataDxfId="1">
      <calculatedColumnFormula>ABS(Table2[[#This Row],[E - FPts]]-Table2[[#This Row],[FPts]])</calculatedColumnFormula>
    </tableColumn>
    <tableColumn id="9" xr3:uid="{EBC18220-67F1-460D-BF9E-42C7ADA8EEE8}" name="D - FP/G" dataDxfId="0">
      <calculatedColumnFormula>ABS(Table2[[#This Row],[E - FP/G]]-Table2[[#This Row],[FP/G]])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648"/>
  <sheetViews>
    <sheetView zoomScaleNormal="100" workbookViewId="0">
      <selection activeCell="F13" sqref="F13"/>
    </sheetView>
  </sheetViews>
  <sheetFormatPr defaultRowHeight="15" x14ac:dyDescent="0.25"/>
  <cols>
    <col min="1" max="1" width="2.140625" customWidth="1"/>
    <col min="3" max="3" width="24.42578125" bestFit="1" customWidth="1"/>
    <col min="5" max="5" width="10.28515625" customWidth="1"/>
    <col min="8" max="8" width="11.7109375" bestFit="1" customWidth="1"/>
  </cols>
  <sheetData>
    <row r="1" spans="2:13" ht="9.75" customHeight="1" x14ac:dyDescent="0.25"/>
    <row r="2" spans="2:13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1653</v>
      </c>
      <c r="H2" t="s">
        <v>5</v>
      </c>
      <c r="I2" t="s">
        <v>6</v>
      </c>
      <c r="M2" s="3"/>
    </row>
    <row r="3" spans="2:13" x14ac:dyDescent="0.25">
      <c r="B3" t="s">
        <v>25</v>
      </c>
      <c r="C3" s="9" t="s">
        <v>26</v>
      </c>
      <c r="D3" s="9" t="s">
        <v>27</v>
      </c>
      <c r="E3" s="9" t="s">
        <v>21</v>
      </c>
      <c r="F3" t="s">
        <v>1654</v>
      </c>
      <c r="G3">
        <v>32</v>
      </c>
      <c r="H3" s="11">
        <v>7629757</v>
      </c>
      <c r="I3" s="10">
        <v>9.2602341326986792</v>
      </c>
    </row>
    <row r="4" spans="2:13" x14ac:dyDescent="0.25">
      <c r="B4" t="s">
        <v>18</v>
      </c>
      <c r="C4" s="9" t="s">
        <v>19</v>
      </c>
      <c r="D4" s="9" t="s">
        <v>20</v>
      </c>
      <c r="E4" s="9" t="s">
        <v>21</v>
      </c>
      <c r="F4" t="s">
        <v>1655</v>
      </c>
      <c r="G4">
        <v>29</v>
      </c>
      <c r="H4" s="11">
        <v>6948604</v>
      </c>
      <c r="I4" s="10">
        <v>8.9336226353528208</v>
      </c>
    </row>
    <row r="5" spans="2:13" x14ac:dyDescent="0.25">
      <c r="B5" t="s">
        <v>60</v>
      </c>
      <c r="C5" s="9" t="s">
        <v>61</v>
      </c>
      <c r="D5" s="9" t="s">
        <v>13</v>
      </c>
      <c r="E5" s="9" t="s">
        <v>21</v>
      </c>
      <c r="F5" t="s">
        <v>1656</v>
      </c>
      <c r="G5">
        <v>29</v>
      </c>
      <c r="H5" s="11">
        <v>3771000</v>
      </c>
      <c r="I5" s="10">
        <v>8.3842839845799908</v>
      </c>
    </row>
    <row r="6" spans="2:13" x14ac:dyDescent="0.25">
      <c r="B6" t="s">
        <v>7</v>
      </c>
      <c r="C6" s="9" t="s">
        <v>8</v>
      </c>
      <c r="D6" s="9" t="s">
        <v>9</v>
      </c>
      <c r="E6" s="9" t="s">
        <v>10</v>
      </c>
      <c r="F6" t="s">
        <v>1657</v>
      </c>
      <c r="G6">
        <v>30</v>
      </c>
      <c r="H6" s="11">
        <v>7995000</v>
      </c>
      <c r="I6" s="10">
        <v>8.3543042642627992</v>
      </c>
    </row>
    <row r="7" spans="2:13" x14ac:dyDescent="0.25">
      <c r="B7" t="s">
        <v>47</v>
      </c>
      <c r="C7" s="9" t="s">
        <v>48</v>
      </c>
      <c r="D7" s="9" t="s">
        <v>27</v>
      </c>
      <c r="E7" s="9" t="s">
        <v>10</v>
      </c>
      <c r="F7" t="s">
        <v>1658</v>
      </c>
      <c r="G7">
        <v>29</v>
      </c>
      <c r="H7" s="11">
        <v>6859000</v>
      </c>
      <c r="I7" s="10">
        <v>7.9792497666834699</v>
      </c>
    </row>
    <row r="8" spans="2:13" x14ac:dyDescent="0.25">
      <c r="B8" t="s">
        <v>249</v>
      </c>
      <c r="C8" s="9" t="s">
        <v>250</v>
      </c>
      <c r="D8" s="9" t="s">
        <v>75</v>
      </c>
      <c r="E8" s="9" t="s">
        <v>37</v>
      </c>
      <c r="F8" t="s">
        <v>1658</v>
      </c>
      <c r="G8">
        <v>24</v>
      </c>
      <c r="H8" s="11">
        <v>5077787</v>
      </c>
      <c r="I8" s="10">
        <v>7.9790868639825101</v>
      </c>
    </row>
    <row r="9" spans="2:13" x14ac:dyDescent="0.25">
      <c r="B9" t="s">
        <v>22</v>
      </c>
      <c r="C9" s="9" t="s">
        <v>23</v>
      </c>
      <c r="D9" s="9" t="s">
        <v>24</v>
      </c>
      <c r="E9" s="9" t="s">
        <v>10</v>
      </c>
      <c r="F9" t="s">
        <v>1657</v>
      </c>
      <c r="G9">
        <v>28</v>
      </c>
      <c r="H9" s="11">
        <v>7501530</v>
      </c>
      <c r="I9" s="10">
        <v>7.8543636819626297</v>
      </c>
    </row>
    <row r="10" spans="2:13" x14ac:dyDescent="0.25">
      <c r="B10" t="s">
        <v>11</v>
      </c>
      <c r="C10" s="9" t="s">
        <v>12</v>
      </c>
      <c r="D10" s="9" t="s">
        <v>13</v>
      </c>
      <c r="E10" s="9" t="s">
        <v>10</v>
      </c>
      <c r="F10" t="s">
        <v>1659</v>
      </c>
      <c r="G10">
        <v>28</v>
      </c>
      <c r="H10" s="11">
        <v>6287000</v>
      </c>
      <c r="I10" s="10">
        <v>7.7526758162387299</v>
      </c>
    </row>
    <row r="11" spans="2:13" x14ac:dyDescent="0.25">
      <c r="B11" t="s">
        <v>66</v>
      </c>
      <c r="C11" s="9" t="s">
        <v>67</v>
      </c>
      <c r="D11" s="9" t="s">
        <v>24</v>
      </c>
      <c r="E11" s="9" t="s">
        <v>37</v>
      </c>
      <c r="F11" t="s">
        <v>1660</v>
      </c>
      <c r="G11">
        <v>29</v>
      </c>
      <c r="H11" s="11">
        <v>7800000</v>
      </c>
      <c r="I11" s="10">
        <v>7.6407302873729899</v>
      </c>
    </row>
    <row r="12" spans="2:13" x14ac:dyDescent="0.25">
      <c r="B12" t="s">
        <v>110</v>
      </c>
      <c r="C12" s="9" t="s">
        <v>111</v>
      </c>
      <c r="D12" s="9" t="s">
        <v>101</v>
      </c>
      <c r="E12" s="9" t="s">
        <v>17</v>
      </c>
      <c r="F12" t="s">
        <v>1661</v>
      </c>
      <c r="G12">
        <v>26</v>
      </c>
      <c r="H12" s="11">
        <v>3568000</v>
      </c>
      <c r="I12" s="10">
        <v>7.5766416953657103</v>
      </c>
    </row>
    <row r="13" spans="2:13" x14ac:dyDescent="0.25">
      <c r="B13" t="s">
        <v>56</v>
      </c>
      <c r="C13" s="9" t="s">
        <v>57</v>
      </c>
      <c r="D13" s="9" t="s">
        <v>36</v>
      </c>
      <c r="E13" s="9" t="s">
        <v>17</v>
      </c>
      <c r="F13" t="s">
        <v>1662</v>
      </c>
      <c r="G13">
        <v>31</v>
      </c>
      <c r="H13" s="11">
        <v>4168521</v>
      </c>
      <c r="I13" s="10">
        <v>7.4180199821277499</v>
      </c>
    </row>
    <row r="14" spans="2:13" x14ac:dyDescent="0.25">
      <c r="B14" t="s">
        <v>38</v>
      </c>
      <c r="C14" s="9" t="s">
        <v>39</v>
      </c>
      <c r="D14" s="9" t="s">
        <v>40</v>
      </c>
      <c r="E14" s="9" t="s">
        <v>43</v>
      </c>
      <c r="F14" t="s">
        <v>1662</v>
      </c>
      <c r="G14">
        <v>40</v>
      </c>
      <c r="H14" s="11">
        <v>3016000</v>
      </c>
      <c r="I14" s="10">
        <v>7.3698840950047</v>
      </c>
    </row>
    <row r="15" spans="2:13" x14ac:dyDescent="0.25">
      <c r="B15" t="s">
        <v>277</v>
      </c>
      <c r="C15" s="9" t="s">
        <v>278</v>
      </c>
      <c r="D15" s="9" t="s">
        <v>16</v>
      </c>
      <c r="E15" s="9" t="s">
        <v>43</v>
      </c>
      <c r="F15" t="s">
        <v>1662</v>
      </c>
      <c r="G15">
        <v>24</v>
      </c>
      <c r="H15" s="11">
        <v>3403049</v>
      </c>
      <c r="I15" s="10">
        <v>7.3413025016504001</v>
      </c>
    </row>
    <row r="16" spans="2:13" x14ac:dyDescent="0.25">
      <c r="B16" t="s">
        <v>54</v>
      </c>
      <c r="C16" s="9" t="s">
        <v>55</v>
      </c>
      <c r="D16" s="9" t="s">
        <v>46</v>
      </c>
      <c r="E16" s="9" t="s">
        <v>17</v>
      </c>
      <c r="F16" t="s">
        <v>1663</v>
      </c>
      <c r="G16">
        <v>28</v>
      </c>
      <c r="H16" s="11">
        <v>6670750</v>
      </c>
      <c r="I16" s="10">
        <v>7.3295262422581704</v>
      </c>
    </row>
    <row r="17" spans="2:9" x14ac:dyDescent="0.25">
      <c r="B17" t="s">
        <v>415</v>
      </c>
      <c r="C17" s="9" t="s">
        <v>416</v>
      </c>
      <c r="D17" s="9" t="s">
        <v>131</v>
      </c>
      <c r="E17" s="9" t="s">
        <v>84</v>
      </c>
      <c r="F17" t="s">
        <v>1661</v>
      </c>
      <c r="G17">
        <v>25</v>
      </c>
      <c r="H17" s="11">
        <v>2989000</v>
      </c>
      <c r="I17" s="10">
        <v>7.2980954223526897</v>
      </c>
    </row>
    <row r="18" spans="2:9" x14ac:dyDescent="0.25">
      <c r="B18" t="s">
        <v>79</v>
      </c>
      <c r="C18" s="9" t="s">
        <v>80</v>
      </c>
      <c r="D18" s="9" t="s">
        <v>81</v>
      </c>
      <c r="E18" s="9" t="s">
        <v>17</v>
      </c>
      <c r="F18" t="s">
        <v>1655</v>
      </c>
      <c r="G18">
        <v>26</v>
      </c>
      <c r="H18" s="11">
        <v>4064000</v>
      </c>
      <c r="I18" s="10">
        <v>7.2044768986941596</v>
      </c>
    </row>
    <row r="19" spans="2:9" x14ac:dyDescent="0.25">
      <c r="B19" t="s">
        <v>28</v>
      </c>
      <c r="C19" s="9" t="s">
        <v>29</v>
      </c>
      <c r="D19" s="9" t="s">
        <v>101</v>
      </c>
      <c r="E19" s="9" t="s">
        <v>21</v>
      </c>
      <c r="F19" t="s">
        <v>1659</v>
      </c>
      <c r="G19">
        <v>28</v>
      </c>
      <c r="H19" s="11">
        <v>4181000</v>
      </c>
      <c r="I19" s="10">
        <v>7.1259851975380704</v>
      </c>
    </row>
    <row r="20" spans="2:9" x14ac:dyDescent="0.25">
      <c r="B20" t="s">
        <v>115</v>
      </c>
      <c r="C20" s="9" t="s">
        <v>116</v>
      </c>
      <c r="D20" s="9" t="s">
        <v>117</v>
      </c>
      <c r="E20" s="9" t="s">
        <v>10</v>
      </c>
      <c r="F20" t="s">
        <v>1663</v>
      </c>
      <c r="G20">
        <v>28</v>
      </c>
      <c r="H20" s="11">
        <v>3298000</v>
      </c>
      <c r="I20" s="10">
        <v>7.1064373013504101</v>
      </c>
    </row>
    <row r="21" spans="2:9" x14ac:dyDescent="0.25">
      <c r="B21" t="s">
        <v>184</v>
      </c>
      <c r="C21" s="9" t="s">
        <v>185</v>
      </c>
      <c r="D21" s="9" t="s">
        <v>75</v>
      </c>
      <c r="E21" s="9" t="s">
        <v>21</v>
      </c>
      <c r="F21" t="s">
        <v>1656</v>
      </c>
      <c r="G21">
        <v>27</v>
      </c>
      <c r="H21" s="11">
        <v>3076000</v>
      </c>
      <c r="I21" s="10">
        <v>7.0553915052448897</v>
      </c>
    </row>
    <row r="22" spans="2:9" x14ac:dyDescent="0.25">
      <c r="B22" t="s">
        <v>90</v>
      </c>
      <c r="C22" s="9" t="s">
        <v>91</v>
      </c>
      <c r="D22" s="9" t="s">
        <v>117</v>
      </c>
      <c r="E22" s="9" t="s">
        <v>21</v>
      </c>
      <c r="F22" t="s">
        <v>1664</v>
      </c>
      <c r="G22">
        <v>28</v>
      </c>
      <c r="H22" s="11">
        <v>3384000</v>
      </c>
      <c r="I22" s="10">
        <v>7.04265471606662</v>
      </c>
    </row>
    <row r="23" spans="2:9" x14ac:dyDescent="0.25">
      <c r="B23" t="s">
        <v>97</v>
      </c>
      <c r="C23" s="9" t="s">
        <v>98</v>
      </c>
      <c r="D23" s="9" t="s">
        <v>53</v>
      </c>
      <c r="E23" s="9" t="s">
        <v>21</v>
      </c>
      <c r="F23" t="s">
        <v>1662</v>
      </c>
      <c r="G23">
        <v>29</v>
      </c>
      <c r="H23" s="11">
        <v>4185652</v>
      </c>
      <c r="I23" s="10">
        <v>7.0364291585786303</v>
      </c>
    </row>
    <row r="24" spans="2:9" x14ac:dyDescent="0.25">
      <c r="B24" t="s">
        <v>234</v>
      </c>
      <c r="C24" s="9" t="s">
        <v>235</v>
      </c>
      <c r="D24" s="9" t="s">
        <v>236</v>
      </c>
      <c r="E24" s="9" t="s">
        <v>10</v>
      </c>
      <c r="F24" t="s">
        <v>1654</v>
      </c>
      <c r="G24">
        <v>26</v>
      </c>
      <c r="H24" s="11">
        <v>5072000</v>
      </c>
      <c r="I24" s="10">
        <v>6.8616835185217999</v>
      </c>
    </row>
    <row r="25" spans="2:9" x14ac:dyDescent="0.25">
      <c r="B25" t="s">
        <v>85</v>
      </c>
      <c r="C25" s="9" t="s">
        <v>86</v>
      </c>
      <c r="D25" s="9" t="s">
        <v>87</v>
      </c>
      <c r="E25" s="9" t="s">
        <v>10</v>
      </c>
      <c r="F25" t="s">
        <v>1654</v>
      </c>
      <c r="G25">
        <v>29</v>
      </c>
      <c r="H25" s="11">
        <v>5515000</v>
      </c>
      <c r="I25" s="10">
        <v>6.8572889487896704</v>
      </c>
    </row>
    <row r="26" spans="2:9" x14ac:dyDescent="0.25">
      <c r="B26" t="s">
        <v>173</v>
      </c>
      <c r="C26" s="9" t="s">
        <v>174</v>
      </c>
      <c r="D26" s="9" t="s">
        <v>107</v>
      </c>
      <c r="E26" s="9" t="s">
        <v>21</v>
      </c>
      <c r="F26" t="s">
        <v>1665</v>
      </c>
      <c r="G26">
        <v>29</v>
      </c>
      <c r="H26" s="11">
        <v>4577943</v>
      </c>
      <c r="I26" s="10">
        <v>6.8499156984731098</v>
      </c>
    </row>
    <row r="27" spans="2:9" x14ac:dyDescent="0.25">
      <c r="B27" t="s">
        <v>1357</v>
      </c>
      <c r="C27" s="9" t="s">
        <v>1578</v>
      </c>
      <c r="D27" s="9" t="s">
        <v>242</v>
      </c>
      <c r="E27" s="9" t="s">
        <v>21</v>
      </c>
      <c r="F27" t="s">
        <v>1665</v>
      </c>
      <c r="G27">
        <v>25</v>
      </c>
      <c r="H27" s="11">
        <v>2140000</v>
      </c>
      <c r="I27" s="10">
        <v>6.8436415594978497</v>
      </c>
    </row>
    <row r="28" spans="2:9" x14ac:dyDescent="0.25">
      <c r="B28" t="s">
        <v>44</v>
      </c>
      <c r="C28" s="9" t="s">
        <v>45</v>
      </c>
      <c r="D28" s="9" t="s">
        <v>170</v>
      </c>
      <c r="E28" s="9" t="s">
        <v>43</v>
      </c>
      <c r="F28" t="s">
        <v>1655</v>
      </c>
      <c r="G28">
        <v>29</v>
      </c>
      <c r="H28" s="11">
        <v>5341797</v>
      </c>
      <c r="I28" s="10">
        <v>6.8403975131374004</v>
      </c>
    </row>
    <row r="29" spans="2:9" x14ac:dyDescent="0.25">
      <c r="B29" t="s">
        <v>154</v>
      </c>
      <c r="C29" s="9" t="s">
        <v>155</v>
      </c>
      <c r="D29" s="9" t="s">
        <v>46</v>
      </c>
      <c r="E29" s="9" t="s">
        <v>10</v>
      </c>
      <c r="F29" t="s">
        <v>1659</v>
      </c>
      <c r="G29">
        <v>32</v>
      </c>
      <c r="H29" s="11">
        <v>3653657</v>
      </c>
      <c r="I29" s="10">
        <v>6.8328583122801803</v>
      </c>
    </row>
    <row r="30" spans="2:9" x14ac:dyDescent="0.25">
      <c r="B30" t="s">
        <v>94</v>
      </c>
      <c r="C30" s="9" t="s">
        <v>95</v>
      </c>
      <c r="D30" s="9" t="s">
        <v>96</v>
      </c>
      <c r="E30" s="9" t="s">
        <v>10</v>
      </c>
      <c r="F30" t="s">
        <v>1659</v>
      </c>
      <c r="G30">
        <v>34</v>
      </c>
      <c r="H30" s="11">
        <v>3447000</v>
      </c>
      <c r="I30" s="10">
        <v>6.8201709082500503</v>
      </c>
    </row>
    <row r="31" spans="2:9" x14ac:dyDescent="0.25">
      <c r="B31" t="s">
        <v>31</v>
      </c>
      <c r="C31" s="9" t="s">
        <v>32</v>
      </c>
      <c r="D31" s="9" t="s">
        <v>33</v>
      </c>
      <c r="E31" s="9" t="s">
        <v>17</v>
      </c>
      <c r="F31" t="s">
        <v>1659</v>
      </c>
      <c r="G31">
        <v>33</v>
      </c>
      <c r="H31" s="11">
        <v>4557000</v>
      </c>
      <c r="I31" s="10">
        <v>6.7945151678612099</v>
      </c>
    </row>
    <row r="32" spans="2:9" x14ac:dyDescent="0.25">
      <c r="B32" t="s">
        <v>237</v>
      </c>
      <c r="C32" s="9" t="s">
        <v>238</v>
      </c>
      <c r="D32" s="9" t="s">
        <v>239</v>
      </c>
      <c r="E32" s="9" t="s">
        <v>17</v>
      </c>
      <c r="F32" t="s">
        <v>1655</v>
      </c>
      <c r="G32">
        <v>27</v>
      </c>
      <c r="H32" s="11">
        <v>4487597</v>
      </c>
      <c r="I32" s="10">
        <v>6.78707831580979</v>
      </c>
    </row>
    <row r="33" spans="2:9" x14ac:dyDescent="0.25">
      <c r="B33" t="s">
        <v>146</v>
      </c>
      <c r="C33" s="9" t="s">
        <v>147</v>
      </c>
      <c r="D33" s="9" t="s">
        <v>107</v>
      </c>
      <c r="E33" s="9" t="s">
        <v>10</v>
      </c>
      <c r="F33" t="s">
        <v>1656</v>
      </c>
      <c r="G33">
        <v>30</v>
      </c>
      <c r="H33" s="11">
        <v>6100633</v>
      </c>
      <c r="I33" s="10">
        <v>6.7622525057454999</v>
      </c>
    </row>
    <row r="34" spans="2:9" x14ac:dyDescent="0.25">
      <c r="B34" t="s">
        <v>216</v>
      </c>
      <c r="C34" s="9" t="s">
        <v>217</v>
      </c>
      <c r="D34" s="9" t="s">
        <v>81</v>
      </c>
      <c r="E34" s="9" t="s">
        <v>21</v>
      </c>
      <c r="F34" t="s">
        <v>1666</v>
      </c>
      <c r="G34">
        <v>27</v>
      </c>
      <c r="H34" s="11">
        <v>4554000</v>
      </c>
      <c r="I34" s="10">
        <v>6.7550807161094797</v>
      </c>
    </row>
    <row r="35" spans="2:9" x14ac:dyDescent="0.25">
      <c r="B35" t="s">
        <v>263</v>
      </c>
      <c r="C35" s="9" t="s">
        <v>264</v>
      </c>
      <c r="D35" s="9" t="s">
        <v>236</v>
      </c>
      <c r="E35" s="9" t="s">
        <v>17</v>
      </c>
      <c r="F35" t="s">
        <v>1657</v>
      </c>
      <c r="G35">
        <v>24</v>
      </c>
      <c r="H35" s="11">
        <v>4823000</v>
      </c>
      <c r="I35" s="10">
        <v>6.7377074531941599</v>
      </c>
    </row>
    <row r="36" spans="2:9" x14ac:dyDescent="0.25">
      <c r="B36" t="s">
        <v>64</v>
      </c>
      <c r="C36" s="9" t="s">
        <v>65</v>
      </c>
      <c r="D36" s="9" t="s">
        <v>27</v>
      </c>
      <c r="E36" s="9" t="s">
        <v>17</v>
      </c>
      <c r="F36" t="s">
        <v>1655</v>
      </c>
      <c r="G36">
        <v>30</v>
      </c>
      <c r="H36" s="11">
        <v>5318198</v>
      </c>
      <c r="I36" s="10">
        <v>6.7335966120432396</v>
      </c>
    </row>
    <row r="37" spans="2:9" x14ac:dyDescent="0.25">
      <c r="B37" t="s">
        <v>137</v>
      </c>
      <c r="C37" s="9" t="s">
        <v>138</v>
      </c>
      <c r="D37" s="9" t="s">
        <v>139</v>
      </c>
      <c r="E37" s="9" t="s">
        <v>30</v>
      </c>
      <c r="F37" t="s">
        <v>1662</v>
      </c>
      <c r="G37">
        <v>27</v>
      </c>
      <c r="H37" s="11">
        <v>4233360</v>
      </c>
      <c r="I37" s="10">
        <v>6.7288560058686597</v>
      </c>
    </row>
    <row r="38" spans="2:9" x14ac:dyDescent="0.25">
      <c r="B38" t="s">
        <v>168</v>
      </c>
      <c r="C38" s="9" t="s">
        <v>169</v>
      </c>
      <c r="D38" s="9" t="s">
        <v>170</v>
      </c>
      <c r="E38" s="9" t="s">
        <v>10</v>
      </c>
      <c r="F38" t="s">
        <v>1662</v>
      </c>
      <c r="G38">
        <v>28</v>
      </c>
      <c r="H38" s="11">
        <v>5212148</v>
      </c>
      <c r="I38" s="10">
        <v>6.6995085007910102</v>
      </c>
    </row>
    <row r="39" spans="2:9" x14ac:dyDescent="0.25">
      <c r="B39" t="s">
        <v>257</v>
      </c>
      <c r="C39" s="9" t="s">
        <v>258</v>
      </c>
      <c r="D39" s="9" t="s">
        <v>153</v>
      </c>
      <c r="E39" s="9" t="s">
        <v>10</v>
      </c>
      <c r="F39" t="s">
        <v>1654</v>
      </c>
      <c r="G39">
        <v>26</v>
      </c>
      <c r="H39" s="11">
        <v>4061554</v>
      </c>
      <c r="I39" s="10">
        <v>6.68976573889588</v>
      </c>
    </row>
    <row r="40" spans="2:9" x14ac:dyDescent="0.25">
      <c r="B40" t="s">
        <v>51</v>
      </c>
      <c r="C40" s="9" t="s">
        <v>52</v>
      </c>
      <c r="D40" s="9" t="s">
        <v>53</v>
      </c>
      <c r="E40" s="9" t="s">
        <v>43</v>
      </c>
      <c r="F40" t="s">
        <v>1656</v>
      </c>
      <c r="G40">
        <v>29</v>
      </c>
      <c r="H40" s="11">
        <v>4394000</v>
      </c>
      <c r="I40" s="10">
        <v>6.6843268133705402</v>
      </c>
    </row>
    <row r="41" spans="2:9" x14ac:dyDescent="0.25">
      <c r="B41" t="s">
        <v>206</v>
      </c>
      <c r="C41" s="9" t="s">
        <v>207</v>
      </c>
      <c r="D41" s="9" t="s">
        <v>153</v>
      </c>
      <c r="E41" s="9" t="s">
        <v>21</v>
      </c>
      <c r="F41" t="s">
        <v>1663</v>
      </c>
      <c r="G41">
        <v>27</v>
      </c>
      <c r="H41" s="11">
        <v>4386317</v>
      </c>
      <c r="I41" s="10">
        <v>6.6511250101474797</v>
      </c>
    </row>
    <row r="42" spans="2:9" x14ac:dyDescent="0.25">
      <c r="B42" t="s">
        <v>297</v>
      </c>
      <c r="C42" s="9" t="s">
        <v>298</v>
      </c>
      <c r="D42" s="9" t="s">
        <v>40</v>
      </c>
      <c r="E42" s="9" t="s">
        <v>10</v>
      </c>
      <c r="F42" t="s">
        <v>1664</v>
      </c>
      <c r="G42">
        <v>28</v>
      </c>
      <c r="H42" s="11">
        <v>2349000</v>
      </c>
      <c r="I42" s="10">
        <v>6.6498851559957597</v>
      </c>
    </row>
    <row r="43" spans="2:9" x14ac:dyDescent="0.25">
      <c r="B43" t="s">
        <v>105</v>
      </c>
      <c r="C43" s="9" t="s">
        <v>106</v>
      </c>
      <c r="D43" s="9" t="s">
        <v>107</v>
      </c>
      <c r="E43" s="9" t="s">
        <v>21</v>
      </c>
      <c r="F43" t="s">
        <v>1654</v>
      </c>
      <c r="G43">
        <v>27</v>
      </c>
      <c r="H43" s="11">
        <v>6853000</v>
      </c>
      <c r="I43" s="10">
        <v>6.6379915117122001</v>
      </c>
    </row>
    <row r="44" spans="2:9" x14ac:dyDescent="0.25">
      <c r="B44" t="s">
        <v>196</v>
      </c>
      <c r="C44" s="9" t="s">
        <v>197</v>
      </c>
      <c r="D44" s="9" t="s">
        <v>87</v>
      </c>
      <c r="E44" s="9" t="s">
        <v>17</v>
      </c>
      <c r="F44" t="s">
        <v>1660</v>
      </c>
      <c r="G44">
        <v>27</v>
      </c>
      <c r="H44" s="11">
        <v>4118000</v>
      </c>
      <c r="I44" s="10">
        <v>6.5928299502598398</v>
      </c>
    </row>
    <row r="45" spans="2:9" x14ac:dyDescent="0.25">
      <c r="B45" t="s">
        <v>226</v>
      </c>
      <c r="C45" s="9" t="s">
        <v>227</v>
      </c>
      <c r="D45" s="9" t="s">
        <v>9</v>
      </c>
      <c r="E45" s="9" t="s">
        <v>21</v>
      </c>
      <c r="F45" t="s">
        <v>1663</v>
      </c>
      <c r="G45">
        <v>26</v>
      </c>
      <c r="H45" s="11">
        <v>4221000</v>
      </c>
      <c r="I45" s="10">
        <v>6.5818219335473502</v>
      </c>
    </row>
    <row r="46" spans="2:9" x14ac:dyDescent="0.25">
      <c r="B46" t="s">
        <v>102</v>
      </c>
      <c r="C46" s="9" t="s">
        <v>103</v>
      </c>
      <c r="D46" s="9" t="s">
        <v>104</v>
      </c>
      <c r="E46" s="9" t="s">
        <v>37</v>
      </c>
      <c r="F46" t="s">
        <v>1667</v>
      </c>
      <c r="G46">
        <v>29</v>
      </c>
      <c r="H46" s="11">
        <v>2613000</v>
      </c>
      <c r="I46" s="10">
        <v>6.5715914296674098</v>
      </c>
    </row>
    <row r="47" spans="2:9" x14ac:dyDescent="0.25">
      <c r="B47" t="s">
        <v>269</v>
      </c>
      <c r="C47" s="9" t="s">
        <v>270</v>
      </c>
      <c r="D47" s="9" t="s">
        <v>75</v>
      </c>
      <c r="E47" s="9" t="s">
        <v>10</v>
      </c>
      <c r="F47" t="s">
        <v>1655</v>
      </c>
      <c r="G47">
        <v>26</v>
      </c>
      <c r="H47" s="11">
        <v>5618000</v>
      </c>
      <c r="I47" s="10">
        <v>6.5533652369769699</v>
      </c>
    </row>
    <row r="48" spans="2:9" x14ac:dyDescent="0.25">
      <c r="B48" t="s">
        <v>49</v>
      </c>
      <c r="C48" s="9" t="s">
        <v>50</v>
      </c>
      <c r="D48" s="9" t="s">
        <v>13</v>
      </c>
      <c r="E48" s="9" t="s">
        <v>10</v>
      </c>
      <c r="F48" t="s">
        <v>1660</v>
      </c>
      <c r="G48">
        <v>34</v>
      </c>
      <c r="H48" s="11">
        <v>4630633</v>
      </c>
      <c r="I48" s="10">
        <v>6.5496574318183303</v>
      </c>
    </row>
    <row r="49" spans="2:9" x14ac:dyDescent="0.25">
      <c r="B49" t="s">
        <v>289</v>
      </c>
      <c r="C49" s="9" t="s">
        <v>290</v>
      </c>
      <c r="D49" s="9" t="s">
        <v>170</v>
      </c>
      <c r="E49" s="9" t="s">
        <v>21</v>
      </c>
      <c r="F49" t="s">
        <v>1657</v>
      </c>
      <c r="G49">
        <v>23</v>
      </c>
      <c r="H49" s="11">
        <v>4714000</v>
      </c>
      <c r="I49" s="10">
        <v>6.4968885944131998</v>
      </c>
    </row>
    <row r="50" spans="2:9" x14ac:dyDescent="0.25">
      <c r="B50" t="s">
        <v>99</v>
      </c>
      <c r="C50" s="9" t="s">
        <v>100</v>
      </c>
      <c r="D50" s="9" t="s">
        <v>101</v>
      </c>
      <c r="E50" s="9" t="s">
        <v>10</v>
      </c>
      <c r="F50" t="s">
        <v>1660</v>
      </c>
      <c r="G50">
        <v>28</v>
      </c>
      <c r="H50" s="11">
        <v>4458649</v>
      </c>
      <c r="I50" s="10">
        <v>6.4635035510788104</v>
      </c>
    </row>
    <row r="51" spans="2:9" x14ac:dyDescent="0.25">
      <c r="B51" t="s">
        <v>190</v>
      </c>
      <c r="C51" s="9" t="s">
        <v>191</v>
      </c>
      <c r="D51" s="9" t="s">
        <v>117</v>
      </c>
      <c r="E51" s="9" t="s">
        <v>37</v>
      </c>
      <c r="F51" t="s">
        <v>1664</v>
      </c>
      <c r="G51">
        <v>31</v>
      </c>
      <c r="H51" s="11">
        <v>4332386</v>
      </c>
      <c r="I51" s="10">
        <v>6.4058271699291396</v>
      </c>
    </row>
    <row r="52" spans="2:9" x14ac:dyDescent="0.25">
      <c r="B52" t="s">
        <v>224</v>
      </c>
      <c r="C52" s="9" t="s">
        <v>225</v>
      </c>
      <c r="D52" s="9" t="s">
        <v>27</v>
      </c>
      <c r="E52" s="9" t="s">
        <v>17</v>
      </c>
      <c r="F52" t="s">
        <v>1664</v>
      </c>
      <c r="G52">
        <v>27</v>
      </c>
      <c r="H52" s="11">
        <v>3329702</v>
      </c>
      <c r="I52" s="10">
        <v>6.36840713997855</v>
      </c>
    </row>
    <row r="53" spans="2:9" x14ac:dyDescent="0.25">
      <c r="B53" t="s">
        <v>228</v>
      </c>
      <c r="C53" s="9" t="s">
        <v>229</v>
      </c>
      <c r="D53" s="9" t="s">
        <v>139</v>
      </c>
      <c r="E53" s="9" t="s">
        <v>21</v>
      </c>
      <c r="F53" t="s">
        <v>1654</v>
      </c>
      <c r="G53">
        <v>29</v>
      </c>
      <c r="H53" s="11">
        <v>2849000</v>
      </c>
      <c r="I53" s="10">
        <v>6.3367113392398604</v>
      </c>
    </row>
    <row r="54" spans="2:9" x14ac:dyDescent="0.25">
      <c r="B54" t="s">
        <v>14</v>
      </c>
      <c r="C54" s="9" t="s">
        <v>15</v>
      </c>
      <c r="D54" s="9" t="s">
        <v>16</v>
      </c>
      <c r="E54" s="9" t="s">
        <v>17</v>
      </c>
      <c r="F54" t="s">
        <v>1659</v>
      </c>
      <c r="G54">
        <v>28</v>
      </c>
      <c r="H54" s="11">
        <v>4919777</v>
      </c>
      <c r="I54" s="10">
        <v>6.28892452365114</v>
      </c>
    </row>
    <row r="55" spans="2:9" x14ac:dyDescent="0.25">
      <c r="B55" t="s">
        <v>204</v>
      </c>
      <c r="C55" s="9" t="s">
        <v>205</v>
      </c>
      <c r="D55" s="9" t="s">
        <v>9</v>
      </c>
      <c r="E55" s="9" t="s">
        <v>84</v>
      </c>
      <c r="F55" t="s">
        <v>1657</v>
      </c>
      <c r="G55">
        <v>26</v>
      </c>
      <c r="H55" s="11">
        <v>6629000</v>
      </c>
      <c r="I55" s="10">
        <v>6.2836085628562897</v>
      </c>
    </row>
    <row r="56" spans="2:9" x14ac:dyDescent="0.25">
      <c r="B56" t="s">
        <v>253</v>
      </c>
      <c r="C56" s="9" t="s">
        <v>254</v>
      </c>
      <c r="D56" s="9" t="s">
        <v>139</v>
      </c>
      <c r="E56" s="9" t="s">
        <v>84</v>
      </c>
      <c r="F56" t="s">
        <v>1656</v>
      </c>
      <c r="G56">
        <v>25</v>
      </c>
      <c r="H56" s="11">
        <v>3176000</v>
      </c>
      <c r="I56" s="10">
        <v>6.2750003053193604</v>
      </c>
    </row>
    <row r="57" spans="2:9" x14ac:dyDescent="0.25">
      <c r="B57" t="s">
        <v>285</v>
      </c>
      <c r="C57" s="9" t="s">
        <v>286</v>
      </c>
      <c r="D57" s="9" t="s">
        <v>242</v>
      </c>
      <c r="E57" s="9" t="s">
        <v>84</v>
      </c>
      <c r="F57" t="s">
        <v>1664</v>
      </c>
      <c r="G57">
        <v>28</v>
      </c>
      <c r="H57" s="11">
        <v>4839000</v>
      </c>
      <c r="I57" s="10">
        <v>6.2370564702565199</v>
      </c>
    </row>
    <row r="58" spans="2:9" x14ac:dyDescent="0.25">
      <c r="B58" t="s">
        <v>232</v>
      </c>
      <c r="C58" s="9" t="s">
        <v>233</v>
      </c>
      <c r="D58" s="9" t="s">
        <v>40</v>
      </c>
      <c r="E58" s="9" t="s">
        <v>21</v>
      </c>
      <c r="F58" t="s">
        <v>1667</v>
      </c>
      <c r="G58">
        <v>31</v>
      </c>
      <c r="H58" s="11">
        <v>2286000</v>
      </c>
      <c r="I58" s="10">
        <v>6.2285600119814397</v>
      </c>
    </row>
    <row r="59" spans="2:9" x14ac:dyDescent="0.25">
      <c r="B59" t="s">
        <v>1355</v>
      </c>
      <c r="C59" s="9" t="s">
        <v>1579</v>
      </c>
      <c r="D59" s="9" t="s">
        <v>101</v>
      </c>
      <c r="E59" s="9" t="s">
        <v>30</v>
      </c>
      <c r="F59" t="s">
        <v>1661</v>
      </c>
      <c r="G59">
        <v>22</v>
      </c>
      <c r="H59" s="11">
        <v>4688000</v>
      </c>
      <c r="I59" s="10">
        <v>6.22675992566829</v>
      </c>
    </row>
    <row r="60" spans="2:9" x14ac:dyDescent="0.25">
      <c r="B60" t="s">
        <v>329</v>
      </c>
      <c r="C60" s="9" t="s">
        <v>330</v>
      </c>
      <c r="D60" s="9" t="s">
        <v>87</v>
      </c>
      <c r="E60" s="9" t="s">
        <v>21</v>
      </c>
      <c r="F60" t="s">
        <v>1662</v>
      </c>
      <c r="G60">
        <v>23</v>
      </c>
      <c r="H60" s="11">
        <v>3698084</v>
      </c>
      <c r="I60" s="10">
        <v>6.2227944638508701</v>
      </c>
    </row>
    <row r="61" spans="2:9" x14ac:dyDescent="0.25">
      <c r="B61" t="s">
        <v>76</v>
      </c>
      <c r="C61" s="9" t="s">
        <v>77</v>
      </c>
      <c r="D61" s="9" t="s">
        <v>78</v>
      </c>
      <c r="E61" s="9" t="s">
        <v>10</v>
      </c>
      <c r="F61" t="s">
        <v>1655</v>
      </c>
      <c r="G61">
        <v>38</v>
      </c>
      <c r="H61" s="11">
        <v>3642000</v>
      </c>
      <c r="I61" s="10">
        <v>6.1896911756475896</v>
      </c>
    </row>
    <row r="62" spans="2:9" x14ac:dyDescent="0.25">
      <c r="B62" t="s">
        <v>135</v>
      </c>
      <c r="C62" s="9" t="s">
        <v>136</v>
      </c>
      <c r="D62" s="9" t="s">
        <v>101</v>
      </c>
      <c r="E62" s="9" t="s">
        <v>30</v>
      </c>
      <c r="F62" t="s">
        <v>1665</v>
      </c>
      <c r="G62">
        <v>34</v>
      </c>
      <c r="H62" s="11">
        <v>2418000</v>
      </c>
      <c r="I62" s="10">
        <v>6.1833274144943404</v>
      </c>
    </row>
    <row r="63" spans="2:9" x14ac:dyDescent="0.25">
      <c r="B63" t="s">
        <v>148</v>
      </c>
      <c r="C63" s="9" t="s">
        <v>149</v>
      </c>
      <c r="D63" s="9" t="s">
        <v>150</v>
      </c>
      <c r="E63" s="9" t="s">
        <v>21</v>
      </c>
      <c r="F63" t="s">
        <v>1657</v>
      </c>
      <c r="G63">
        <v>28</v>
      </c>
      <c r="H63" s="11">
        <v>3873861</v>
      </c>
      <c r="I63" s="10">
        <v>6.1663373493720401</v>
      </c>
    </row>
    <row r="64" spans="2:9" x14ac:dyDescent="0.25">
      <c r="B64" t="s">
        <v>177</v>
      </c>
      <c r="C64" s="9" t="s">
        <v>178</v>
      </c>
      <c r="D64" s="9" t="s">
        <v>78</v>
      </c>
      <c r="E64" s="9" t="s">
        <v>21</v>
      </c>
      <c r="F64" t="s">
        <v>1666</v>
      </c>
      <c r="G64">
        <v>33</v>
      </c>
      <c r="H64" s="11">
        <v>2842000</v>
      </c>
      <c r="I64" s="10">
        <v>6.1541848626513396</v>
      </c>
    </row>
    <row r="65" spans="2:9" x14ac:dyDescent="0.25">
      <c r="B65" t="s">
        <v>325</v>
      </c>
      <c r="C65" s="9" t="s">
        <v>326</v>
      </c>
      <c r="D65" s="9" t="s">
        <v>81</v>
      </c>
      <c r="E65" s="9" t="s">
        <v>10</v>
      </c>
      <c r="F65" t="s">
        <v>1662</v>
      </c>
      <c r="G65">
        <v>23</v>
      </c>
      <c r="H65" s="11">
        <v>5115223</v>
      </c>
      <c r="I65" s="10">
        <v>6.13396870793866</v>
      </c>
    </row>
    <row r="66" spans="2:9" x14ac:dyDescent="0.25">
      <c r="B66" t="s">
        <v>129</v>
      </c>
      <c r="C66" s="9" t="s">
        <v>130</v>
      </c>
      <c r="D66" s="9" t="s">
        <v>33</v>
      </c>
      <c r="E66" s="9" t="s">
        <v>30</v>
      </c>
      <c r="F66" t="s">
        <v>1662</v>
      </c>
      <c r="G66">
        <v>32</v>
      </c>
      <c r="H66" s="11">
        <v>3513000</v>
      </c>
      <c r="I66" s="10">
        <v>6.12106335625983</v>
      </c>
    </row>
    <row r="67" spans="2:9" x14ac:dyDescent="0.25">
      <c r="B67" t="s">
        <v>287</v>
      </c>
      <c r="C67" s="9" t="s">
        <v>288</v>
      </c>
      <c r="D67" s="9" t="s">
        <v>24</v>
      </c>
      <c r="E67" s="9" t="s">
        <v>84</v>
      </c>
      <c r="F67" t="s">
        <v>1662</v>
      </c>
      <c r="G67">
        <v>25</v>
      </c>
      <c r="H67" s="11">
        <v>2960996</v>
      </c>
      <c r="I67" s="10">
        <v>6.0412899094349397</v>
      </c>
    </row>
    <row r="68" spans="2:9" x14ac:dyDescent="0.25">
      <c r="B68" t="s">
        <v>73</v>
      </c>
      <c r="C68" s="9" t="s">
        <v>74</v>
      </c>
      <c r="D68" s="9" t="s">
        <v>75</v>
      </c>
      <c r="E68" s="9" t="s">
        <v>43</v>
      </c>
      <c r="F68" t="s">
        <v>1664</v>
      </c>
      <c r="G68">
        <v>28</v>
      </c>
      <c r="H68" s="11">
        <v>4386162</v>
      </c>
      <c r="I68" s="10">
        <v>6.0270562398028602</v>
      </c>
    </row>
    <row r="69" spans="2:9" x14ac:dyDescent="0.25">
      <c r="B69" t="s">
        <v>399</v>
      </c>
      <c r="C69" s="9" t="s">
        <v>400</v>
      </c>
      <c r="D69" s="9" t="s">
        <v>40</v>
      </c>
      <c r="E69" s="9" t="s">
        <v>10</v>
      </c>
      <c r="F69" t="s">
        <v>1663</v>
      </c>
      <c r="G69">
        <v>27</v>
      </c>
      <c r="H69" s="11">
        <v>2100000</v>
      </c>
      <c r="I69" s="10">
        <v>6.0090991385862704</v>
      </c>
    </row>
    <row r="70" spans="2:9" x14ac:dyDescent="0.25">
      <c r="B70" t="s">
        <v>1525</v>
      </c>
      <c r="C70" s="9" t="s">
        <v>1582</v>
      </c>
      <c r="D70" s="9" t="s">
        <v>239</v>
      </c>
      <c r="E70" s="9" t="s">
        <v>21</v>
      </c>
      <c r="F70" t="s">
        <v>1659</v>
      </c>
      <c r="G70">
        <v>22</v>
      </c>
      <c r="H70" s="11">
        <v>1901000</v>
      </c>
      <c r="I70" s="10">
        <v>6.0090456127074896</v>
      </c>
    </row>
    <row r="71" spans="2:9" x14ac:dyDescent="0.25">
      <c r="B71" t="s">
        <v>122</v>
      </c>
      <c r="C71" s="9" t="s">
        <v>123</v>
      </c>
      <c r="D71" s="9" t="s">
        <v>107</v>
      </c>
      <c r="E71" s="9" t="s">
        <v>17</v>
      </c>
      <c r="F71" t="s">
        <v>1664</v>
      </c>
      <c r="G71">
        <v>30</v>
      </c>
      <c r="H71" s="11">
        <v>5341000</v>
      </c>
      <c r="I71" s="10">
        <v>5.8854361237650004</v>
      </c>
    </row>
    <row r="72" spans="2:9" x14ac:dyDescent="0.25">
      <c r="B72" t="s">
        <v>92</v>
      </c>
      <c r="C72" s="9" t="s">
        <v>93</v>
      </c>
      <c r="D72" s="9" t="s">
        <v>33</v>
      </c>
      <c r="E72" s="9" t="s">
        <v>30</v>
      </c>
      <c r="F72" t="s">
        <v>1666</v>
      </c>
      <c r="G72">
        <v>32</v>
      </c>
      <c r="H72" s="11">
        <v>5892961</v>
      </c>
      <c r="I72" s="10">
        <v>5.8589042582119299</v>
      </c>
    </row>
    <row r="73" spans="2:9" x14ac:dyDescent="0.25">
      <c r="B73" t="s">
        <v>317</v>
      </c>
      <c r="C73" s="9" t="s">
        <v>318</v>
      </c>
      <c r="D73" s="9" t="s">
        <v>242</v>
      </c>
      <c r="E73" s="9" t="s">
        <v>10</v>
      </c>
      <c r="F73" t="s">
        <v>1656</v>
      </c>
      <c r="G73">
        <v>30</v>
      </c>
      <c r="H73" s="11">
        <v>2101000</v>
      </c>
      <c r="I73" s="10">
        <v>5.82344833679901</v>
      </c>
    </row>
    <row r="74" spans="2:9" x14ac:dyDescent="0.25">
      <c r="B74" t="s">
        <v>345</v>
      </c>
      <c r="C74" s="9" t="s">
        <v>346</v>
      </c>
      <c r="D74" s="9" t="s">
        <v>46</v>
      </c>
      <c r="E74" s="9" t="s">
        <v>21</v>
      </c>
      <c r="F74" t="s">
        <v>1661</v>
      </c>
      <c r="G74">
        <v>26</v>
      </c>
      <c r="H74" s="11">
        <v>1829858</v>
      </c>
      <c r="I74" s="10">
        <v>5.8136732380194296</v>
      </c>
    </row>
    <row r="75" spans="2:9" x14ac:dyDescent="0.25">
      <c r="B75" t="s">
        <v>175</v>
      </c>
      <c r="C75" s="9" t="s">
        <v>176</v>
      </c>
      <c r="D75" s="9" t="s">
        <v>16</v>
      </c>
      <c r="E75" s="9" t="s">
        <v>21</v>
      </c>
      <c r="F75" t="s">
        <v>1659</v>
      </c>
      <c r="G75">
        <v>38</v>
      </c>
      <c r="H75" s="11">
        <v>3547000</v>
      </c>
      <c r="I75" s="10">
        <v>5.7816001218002899</v>
      </c>
    </row>
    <row r="76" spans="2:9" x14ac:dyDescent="0.25">
      <c r="B76" t="s">
        <v>182</v>
      </c>
      <c r="C76" s="9" t="s">
        <v>183</v>
      </c>
      <c r="D76" s="9" t="s">
        <v>87</v>
      </c>
      <c r="E76" s="9" t="s">
        <v>21</v>
      </c>
      <c r="F76" t="s">
        <v>1662</v>
      </c>
      <c r="G76">
        <v>36</v>
      </c>
      <c r="H76" s="11">
        <v>2643000</v>
      </c>
      <c r="I76" s="10">
        <v>5.7710910599877803</v>
      </c>
    </row>
    <row r="77" spans="2:9" x14ac:dyDescent="0.25">
      <c r="B77" t="s">
        <v>158</v>
      </c>
      <c r="C77" s="9" t="s">
        <v>159</v>
      </c>
      <c r="D77" s="9" t="s">
        <v>33</v>
      </c>
      <c r="E77" s="9" t="s">
        <v>10</v>
      </c>
      <c r="F77" t="s">
        <v>1660</v>
      </c>
      <c r="G77">
        <v>32</v>
      </c>
      <c r="H77" s="11">
        <v>3378000</v>
      </c>
      <c r="I77" s="10">
        <v>5.7708254002486301</v>
      </c>
    </row>
    <row r="78" spans="2:9" x14ac:dyDescent="0.25">
      <c r="B78" t="s">
        <v>142</v>
      </c>
      <c r="C78" s="9" t="s">
        <v>143</v>
      </c>
      <c r="D78" s="9" t="s">
        <v>131</v>
      </c>
      <c r="E78" s="9" t="s">
        <v>21</v>
      </c>
      <c r="F78" t="s">
        <v>1657</v>
      </c>
      <c r="G78">
        <v>28</v>
      </c>
      <c r="H78" s="11">
        <v>2682797</v>
      </c>
      <c r="I78" s="10">
        <v>5.7679039635299096</v>
      </c>
    </row>
    <row r="79" spans="2:9" x14ac:dyDescent="0.25">
      <c r="B79" t="s">
        <v>70</v>
      </c>
      <c r="C79" s="9" t="s">
        <v>71</v>
      </c>
      <c r="D79" s="9" t="s">
        <v>72</v>
      </c>
      <c r="E79" s="9" t="s">
        <v>10</v>
      </c>
      <c r="F79" t="s">
        <v>1666</v>
      </c>
      <c r="G79">
        <v>30</v>
      </c>
      <c r="H79" s="11">
        <v>6583932</v>
      </c>
      <c r="I79" s="10">
        <v>5.7486949433163996</v>
      </c>
    </row>
    <row r="80" spans="2:9" x14ac:dyDescent="0.25">
      <c r="B80" t="s">
        <v>323</v>
      </c>
      <c r="C80" s="9" t="s">
        <v>324</v>
      </c>
      <c r="D80" s="9" t="s">
        <v>239</v>
      </c>
      <c r="E80" s="9" t="s">
        <v>17</v>
      </c>
      <c r="F80" t="s">
        <v>1661</v>
      </c>
      <c r="G80">
        <v>23</v>
      </c>
      <c r="H80" s="11">
        <v>2296000</v>
      </c>
      <c r="I80" s="10">
        <v>5.7454668286277801</v>
      </c>
    </row>
    <row r="81" spans="2:9" x14ac:dyDescent="0.25">
      <c r="B81" t="s">
        <v>230</v>
      </c>
      <c r="C81" s="9" t="s">
        <v>231</v>
      </c>
      <c r="D81" s="9" t="s">
        <v>107</v>
      </c>
      <c r="E81" s="9" t="s">
        <v>10</v>
      </c>
      <c r="F81" t="s">
        <v>1666</v>
      </c>
      <c r="G81">
        <v>29</v>
      </c>
      <c r="H81" s="11">
        <v>2113000</v>
      </c>
      <c r="I81" s="10">
        <v>5.7376863836031502</v>
      </c>
    </row>
    <row r="82" spans="2:9" x14ac:dyDescent="0.25">
      <c r="B82" t="s">
        <v>208</v>
      </c>
      <c r="C82" s="9" t="s">
        <v>209</v>
      </c>
      <c r="D82" s="9" t="s">
        <v>46</v>
      </c>
      <c r="E82" s="9" t="s">
        <v>84</v>
      </c>
      <c r="F82" t="s">
        <v>1657</v>
      </c>
      <c r="G82">
        <v>30</v>
      </c>
      <c r="H82" s="11">
        <v>2773000</v>
      </c>
      <c r="I82" s="10">
        <v>5.6992032355962197</v>
      </c>
    </row>
    <row r="83" spans="2:9" x14ac:dyDescent="0.25">
      <c r="B83" t="s">
        <v>133</v>
      </c>
      <c r="C83" s="9" t="s">
        <v>134</v>
      </c>
      <c r="D83" s="9" t="s">
        <v>53</v>
      </c>
      <c r="E83" s="9" t="s">
        <v>43</v>
      </c>
      <c r="F83" t="s">
        <v>1660</v>
      </c>
      <c r="G83">
        <v>30</v>
      </c>
      <c r="H83" s="11">
        <v>3538000</v>
      </c>
      <c r="I83" s="10">
        <v>5.5911284849002003</v>
      </c>
    </row>
    <row r="84" spans="2:9" x14ac:dyDescent="0.25">
      <c r="B84" t="s">
        <v>202</v>
      </c>
      <c r="C84" s="9" t="s">
        <v>203</v>
      </c>
      <c r="D84" s="9" t="s">
        <v>9</v>
      </c>
      <c r="E84" s="9" t="s">
        <v>17</v>
      </c>
      <c r="F84" t="s">
        <v>1658</v>
      </c>
      <c r="G84">
        <v>30</v>
      </c>
      <c r="H84" s="11">
        <v>5641000</v>
      </c>
      <c r="I84" s="10">
        <v>5.55617925748854</v>
      </c>
    </row>
    <row r="85" spans="2:9" x14ac:dyDescent="0.25">
      <c r="B85" t="s">
        <v>192</v>
      </c>
      <c r="C85" s="9" t="s">
        <v>193</v>
      </c>
      <c r="D85" s="9" t="s">
        <v>170</v>
      </c>
      <c r="E85" s="9" t="s">
        <v>43</v>
      </c>
      <c r="F85" t="s">
        <v>1659</v>
      </c>
      <c r="G85">
        <v>25</v>
      </c>
      <c r="H85" s="11">
        <v>4844000</v>
      </c>
      <c r="I85" s="10">
        <v>5.55234512019371</v>
      </c>
    </row>
    <row r="86" spans="2:9" x14ac:dyDescent="0.25">
      <c r="B86" t="s">
        <v>41</v>
      </c>
      <c r="C86" s="9" t="s">
        <v>42</v>
      </c>
      <c r="D86" s="9" t="s">
        <v>9</v>
      </c>
      <c r="E86" s="9" t="s">
        <v>43</v>
      </c>
      <c r="F86" t="s">
        <v>1661</v>
      </c>
      <c r="G86">
        <v>30</v>
      </c>
      <c r="H86" s="11">
        <v>3951329</v>
      </c>
      <c r="I86" s="10">
        <v>5.5427266153199497</v>
      </c>
    </row>
    <row r="87" spans="2:9" x14ac:dyDescent="0.25">
      <c r="B87" t="s">
        <v>417</v>
      </c>
      <c r="C87" s="9" t="s">
        <v>418</v>
      </c>
      <c r="D87" s="9" t="s">
        <v>40</v>
      </c>
      <c r="E87" s="9" t="s">
        <v>84</v>
      </c>
      <c r="F87" t="s">
        <v>1658</v>
      </c>
      <c r="G87">
        <v>27</v>
      </c>
      <c r="H87" s="11">
        <v>3806071</v>
      </c>
      <c r="I87" s="10">
        <v>5.4881934310022098</v>
      </c>
    </row>
    <row r="88" spans="2:9" x14ac:dyDescent="0.25">
      <c r="B88" t="s">
        <v>379</v>
      </c>
      <c r="C88" s="9" t="s">
        <v>380</v>
      </c>
      <c r="D88" s="9" t="s">
        <v>236</v>
      </c>
      <c r="E88" s="9" t="s">
        <v>43</v>
      </c>
      <c r="F88" t="s">
        <v>1667</v>
      </c>
      <c r="G88">
        <v>27</v>
      </c>
      <c r="H88" s="11">
        <v>2112000</v>
      </c>
      <c r="I88" s="10">
        <v>5.4616584082162696</v>
      </c>
    </row>
    <row r="89" spans="2:9" x14ac:dyDescent="0.25">
      <c r="B89" t="s">
        <v>243</v>
      </c>
      <c r="C89" s="9" t="s">
        <v>244</v>
      </c>
      <c r="D89" s="9" t="s">
        <v>239</v>
      </c>
      <c r="E89" s="9" t="s">
        <v>21</v>
      </c>
      <c r="F89" t="s">
        <v>1662</v>
      </c>
      <c r="G89">
        <v>29</v>
      </c>
      <c r="H89" s="11">
        <v>2278000</v>
      </c>
      <c r="I89" s="10">
        <v>5.4483608266388801</v>
      </c>
    </row>
    <row r="90" spans="2:9" x14ac:dyDescent="0.25">
      <c r="B90" t="s">
        <v>351</v>
      </c>
      <c r="C90" s="9" t="s">
        <v>352</v>
      </c>
      <c r="D90" s="9" t="s">
        <v>53</v>
      </c>
      <c r="E90" s="9" t="s">
        <v>37</v>
      </c>
      <c r="F90" t="s">
        <v>1663</v>
      </c>
      <c r="G90">
        <v>23</v>
      </c>
      <c r="H90" s="11">
        <v>3916000</v>
      </c>
      <c r="I90" s="10">
        <v>5.4423788462091096</v>
      </c>
    </row>
    <row r="91" spans="2:9" x14ac:dyDescent="0.25">
      <c r="B91" t="s">
        <v>359</v>
      </c>
      <c r="C91" s="9" t="s">
        <v>360</v>
      </c>
      <c r="D91" s="9" t="s">
        <v>96</v>
      </c>
      <c r="E91" s="9" t="s">
        <v>17</v>
      </c>
      <c r="F91" t="s">
        <v>1657</v>
      </c>
      <c r="G91">
        <v>32</v>
      </c>
      <c r="H91" s="11">
        <v>2142000</v>
      </c>
      <c r="I91" s="10">
        <v>5.4400667324989502</v>
      </c>
    </row>
    <row r="92" spans="2:9" x14ac:dyDescent="0.25">
      <c r="B92" t="s">
        <v>144</v>
      </c>
      <c r="C92" s="9" t="s">
        <v>145</v>
      </c>
      <c r="D92" s="9" t="s">
        <v>9</v>
      </c>
      <c r="E92" s="9" t="s">
        <v>10</v>
      </c>
      <c r="F92" t="s">
        <v>1663</v>
      </c>
      <c r="G92">
        <v>33</v>
      </c>
      <c r="H92" s="11">
        <v>3713000</v>
      </c>
      <c r="I92" s="10">
        <v>5.4035926937187302</v>
      </c>
    </row>
    <row r="93" spans="2:9" x14ac:dyDescent="0.25">
      <c r="B93" t="s">
        <v>275</v>
      </c>
      <c r="C93" s="9" t="s">
        <v>276</v>
      </c>
      <c r="D93" s="9" t="s">
        <v>114</v>
      </c>
      <c r="E93" s="9" t="s">
        <v>30</v>
      </c>
      <c r="F93" t="s">
        <v>1666</v>
      </c>
      <c r="G93">
        <v>33</v>
      </c>
      <c r="H93" s="11">
        <v>2255000</v>
      </c>
      <c r="I93" s="10">
        <v>5.3906859865565497</v>
      </c>
    </row>
    <row r="94" spans="2:9" x14ac:dyDescent="0.25">
      <c r="B94" t="s">
        <v>525</v>
      </c>
      <c r="C94" s="9" t="s">
        <v>526</v>
      </c>
      <c r="D94" s="9" t="s">
        <v>101</v>
      </c>
      <c r="E94" s="9" t="s">
        <v>84</v>
      </c>
      <c r="F94" t="s">
        <v>1659</v>
      </c>
      <c r="G94">
        <v>24</v>
      </c>
      <c r="H94" s="11">
        <v>2030000</v>
      </c>
      <c r="I94" s="10">
        <v>5.3508661396891704</v>
      </c>
    </row>
    <row r="95" spans="2:9" x14ac:dyDescent="0.25">
      <c r="B95" t="s">
        <v>271</v>
      </c>
      <c r="C95" s="9" t="s">
        <v>272</v>
      </c>
      <c r="D95" s="9" t="s">
        <v>114</v>
      </c>
      <c r="E95" s="9" t="s">
        <v>21</v>
      </c>
      <c r="F95" t="s">
        <v>1666</v>
      </c>
      <c r="G95">
        <v>28</v>
      </c>
      <c r="H95" s="11">
        <v>2368000</v>
      </c>
      <c r="I95" s="10">
        <v>5.3503113426763198</v>
      </c>
    </row>
    <row r="96" spans="2:9" x14ac:dyDescent="0.25">
      <c r="B96" t="s">
        <v>160</v>
      </c>
      <c r="C96" s="9" t="s">
        <v>161</v>
      </c>
      <c r="D96" s="9" t="s">
        <v>20</v>
      </c>
      <c r="E96" s="9" t="s">
        <v>43</v>
      </c>
      <c r="F96" t="s">
        <v>1663</v>
      </c>
      <c r="G96">
        <v>32</v>
      </c>
      <c r="H96" s="11">
        <v>1648000</v>
      </c>
      <c r="I96" s="10">
        <v>5.3088739740002602</v>
      </c>
    </row>
    <row r="97" spans="2:9" x14ac:dyDescent="0.25">
      <c r="B97" t="s">
        <v>112</v>
      </c>
      <c r="C97" s="9" t="s">
        <v>113</v>
      </c>
      <c r="D97" s="9" t="s">
        <v>114</v>
      </c>
      <c r="E97" s="9" t="s">
        <v>17</v>
      </c>
      <c r="F97" t="s">
        <v>1666</v>
      </c>
      <c r="G97">
        <v>31</v>
      </c>
      <c r="H97" s="11">
        <v>3745000</v>
      </c>
      <c r="I97" s="10">
        <v>5.3081843867451397</v>
      </c>
    </row>
    <row r="98" spans="2:9" x14ac:dyDescent="0.25">
      <c r="B98" t="s">
        <v>313</v>
      </c>
      <c r="C98" s="9" t="s">
        <v>314</v>
      </c>
      <c r="D98" s="9" t="s">
        <v>27</v>
      </c>
      <c r="E98" s="9" t="s">
        <v>84</v>
      </c>
      <c r="F98" t="s">
        <v>1663</v>
      </c>
      <c r="G98">
        <v>34</v>
      </c>
      <c r="H98" s="11">
        <v>4844704</v>
      </c>
      <c r="I98" s="10">
        <v>5.3053751255218202</v>
      </c>
    </row>
    <row r="99" spans="2:9" x14ac:dyDescent="0.25">
      <c r="B99" t="s">
        <v>247</v>
      </c>
      <c r="C99" s="9" t="s">
        <v>248</v>
      </c>
      <c r="D99" s="9" t="s">
        <v>117</v>
      </c>
      <c r="E99" s="9" t="s">
        <v>21</v>
      </c>
      <c r="F99" t="s">
        <v>1654</v>
      </c>
      <c r="G99">
        <v>33</v>
      </c>
      <c r="H99" s="11">
        <v>4647076</v>
      </c>
      <c r="I99" s="10">
        <v>5.2938745288029496</v>
      </c>
    </row>
    <row r="100" spans="2:9" x14ac:dyDescent="0.25">
      <c r="B100" t="s">
        <v>1352</v>
      </c>
      <c r="C100" s="9" t="s">
        <v>1583</v>
      </c>
      <c r="D100" s="9" t="s">
        <v>13</v>
      </c>
      <c r="E100" s="9" t="s">
        <v>17</v>
      </c>
      <c r="F100" t="s">
        <v>1657</v>
      </c>
      <c r="G100">
        <v>22</v>
      </c>
      <c r="H100" s="11">
        <v>2054000</v>
      </c>
      <c r="I100" s="10">
        <v>5.26884235358213</v>
      </c>
    </row>
    <row r="101" spans="2:9" x14ac:dyDescent="0.25">
      <c r="B101" t="s">
        <v>214</v>
      </c>
      <c r="C101" s="9" t="s">
        <v>215</v>
      </c>
      <c r="D101" s="9" t="s">
        <v>131</v>
      </c>
      <c r="E101" s="9" t="s">
        <v>10</v>
      </c>
      <c r="F101" t="s">
        <v>1664</v>
      </c>
      <c r="G101">
        <v>26</v>
      </c>
      <c r="H101" s="11">
        <v>6991000</v>
      </c>
      <c r="I101" s="10">
        <v>5.2679914760130497</v>
      </c>
    </row>
    <row r="102" spans="2:9" x14ac:dyDescent="0.25">
      <c r="B102" t="s">
        <v>267</v>
      </c>
      <c r="C102" s="9" t="s">
        <v>268</v>
      </c>
      <c r="D102" s="9" t="s">
        <v>117</v>
      </c>
      <c r="E102" s="9" t="s">
        <v>10</v>
      </c>
      <c r="F102" t="s">
        <v>1658</v>
      </c>
      <c r="G102">
        <v>32</v>
      </c>
      <c r="H102" s="11">
        <v>4071000</v>
      </c>
      <c r="I102" s="10">
        <v>5.2591625115803797</v>
      </c>
    </row>
    <row r="103" spans="2:9" x14ac:dyDescent="0.25">
      <c r="B103" t="s">
        <v>515</v>
      </c>
      <c r="C103" s="9" t="s">
        <v>516</v>
      </c>
      <c r="D103" s="9" t="s">
        <v>78</v>
      </c>
      <c r="E103" s="9" t="s">
        <v>43</v>
      </c>
      <c r="F103" t="s">
        <v>1666</v>
      </c>
      <c r="G103">
        <v>32</v>
      </c>
      <c r="H103" s="11">
        <v>1899000</v>
      </c>
      <c r="I103" s="10">
        <v>5.2269956498752501</v>
      </c>
    </row>
    <row r="104" spans="2:9" x14ac:dyDescent="0.25">
      <c r="B104" t="s">
        <v>218</v>
      </c>
      <c r="C104" s="9" t="s">
        <v>219</v>
      </c>
      <c r="D104" s="9" t="s">
        <v>170</v>
      </c>
      <c r="E104" s="9" t="s">
        <v>84</v>
      </c>
      <c r="F104" t="s">
        <v>1663</v>
      </c>
      <c r="G104">
        <v>32</v>
      </c>
      <c r="H104" s="11">
        <v>2064000</v>
      </c>
      <c r="I104" s="10">
        <v>5.21546861785757</v>
      </c>
    </row>
    <row r="105" spans="2:9" x14ac:dyDescent="0.25">
      <c r="B105" t="s">
        <v>259</v>
      </c>
      <c r="C105" s="9" t="s">
        <v>260</v>
      </c>
      <c r="D105" s="9" t="s">
        <v>96</v>
      </c>
      <c r="E105" s="9" t="s">
        <v>43</v>
      </c>
      <c r="F105" t="s">
        <v>1658</v>
      </c>
      <c r="G105">
        <v>33</v>
      </c>
      <c r="H105" s="11">
        <v>2372000</v>
      </c>
      <c r="I105" s="10">
        <v>5.1920292659698504</v>
      </c>
    </row>
    <row r="106" spans="2:9" x14ac:dyDescent="0.25">
      <c r="B106" t="s">
        <v>68</v>
      </c>
      <c r="C106" s="9" t="s">
        <v>69</v>
      </c>
      <c r="D106" s="9" t="s">
        <v>36</v>
      </c>
      <c r="E106" s="9" t="s">
        <v>21</v>
      </c>
      <c r="F106" t="s">
        <v>1660</v>
      </c>
      <c r="G106">
        <v>34</v>
      </c>
      <c r="H106" s="11">
        <v>4383057</v>
      </c>
      <c r="I106" s="10">
        <v>5.1912237161040498</v>
      </c>
    </row>
    <row r="107" spans="2:9" x14ac:dyDescent="0.25">
      <c r="B107" t="s">
        <v>126</v>
      </c>
      <c r="C107" s="9" t="s">
        <v>127</v>
      </c>
      <c r="D107" s="9" t="s">
        <v>128</v>
      </c>
      <c r="E107" s="9" t="s">
        <v>21</v>
      </c>
      <c r="F107" t="s">
        <v>1658</v>
      </c>
      <c r="G107">
        <v>33</v>
      </c>
      <c r="H107" s="11">
        <v>4807000</v>
      </c>
      <c r="I107" s="10">
        <v>5.1836478341914196</v>
      </c>
    </row>
    <row r="108" spans="2:9" x14ac:dyDescent="0.25">
      <c r="B108" t="s">
        <v>473</v>
      </c>
      <c r="C108" s="9" t="s">
        <v>474</v>
      </c>
      <c r="D108" s="9" t="s">
        <v>46</v>
      </c>
      <c r="E108" s="9" t="s">
        <v>84</v>
      </c>
      <c r="F108" t="s">
        <v>1666</v>
      </c>
      <c r="G108">
        <v>30</v>
      </c>
      <c r="H108" s="11">
        <v>2352000</v>
      </c>
      <c r="I108" s="10">
        <v>5.1805874848818299</v>
      </c>
    </row>
    <row r="109" spans="2:9" x14ac:dyDescent="0.25">
      <c r="B109" t="s">
        <v>62</v>
      </c>
      <c r="C109" s="9" t="s">
        <v>63</v>
      </c>
      <c r="D109" s="9" t="s">
        <v>107</v>
      </c>
      <c r="E109" s="9" t="s">
        <v>17</v>
      </c>
      <c r="F109" t="s">
        <v>1665</v>
      </c>
      <c r="G109">
        <v>37</v>
      </c>
      <c r="H109" s="11">
        <v>6288785</v>
      </c>
      <c r="I109" s="10">
        <v>5.1514639692791597</v>
      </c>
    </row>
    <row r="110" spans="2:9" x14ac:dyDescent="0.25">
      <c r="B110" t="s">
        <v>151</v>
      </c>
      <c r="C110" s="9" t="s">
        <v>152</v>
      </c>
      <c r="D110" s="9" t="s">
        <v>153</v>
      </c>
      <c r="E110" s="9" t="s">
        <v>132</v>
      </c>
      <c r="F110" t="s">
        <v>1655</v>
      </c>
      <c r="G110">
        <v>30</v>
      </c>
      <c r="H110" s="11">
        <v>2437000</v>
      </c>
      <c r="I110" s="10">
        <v>5.1450555619980802</v>
      </c>
    </row>
    <row r="111" spans="2:9" x14ac:dyDescent="0.25">
      <c r="B111" t="s">
        <v>210</v>
      </c>
      <c r="C111" s="9" t="s">
        <v>211</v>
      </c>
      <c r="D111" s="9" t="s">
        <v>101</v>
      </c>
      <c r="E111" s="9" t="s">
        <v>17</v>
      </c>
      <c r="F111" t="s">
        <v>1664</v>
      </c>
      <c r="G111">
        <v>36</v>
      </c>
      <c r="H111" s="11">
        <v>2350000</v>
      </c>
      <c r="I111" s="10">
        <v>5.1410634704116003</v>
      </c>
    </row>
    <row r="112" spans="2:9" x14ac:dyDescent="0.25">
      <c r="B112" t="s">
        <v>162</v>
      </c>
      <c r="C112" s="9" t="s">
        <v>163</v>
      </c>
      <c r="D112" s="9" t="s">
        <v>150</v>
      </c>
      <c r="E112" s="9" t="s">
        <v>17</v>
      </c>
      <c r="F112" t="s">
        <v>1666</v>
      </c>
      <c r="G112">
        <v>26</v>
      </c>
      <c r="H112" s="11">
        <v>4428000</v>
      </c>
      <c r="I112" s="10">
        <v>5.1384326002400798</v>
      </c>
    </row>
    <row r="113" spans="2:9" x14ac:dyDescent="0.25">
      <c r="B113" t="s">
        <v>188</v>
      </c>
      <c r="C113" s="9" t="s">
        <v>189</v>
      </c>
      <c r="D113" s="9" t="s">
        <v>13</v>
      </c>
      <c r="E113" s="9" t="s">
        <v>84</v>
      </c>
      <c r="F113" t="s">
        <v>1667</v>
      </c>
      <c r="G113">
        <v>31</v>
      </c>
      <c r="H113" s="11">
        <v>1995000</v>
      </c>
      <c r="I113" s="10">
        <v>5.1220651209486103</v>
      </c>
    </row>
    <row r="114" spans="2:9" x14ac:dyDescent="0.25">
      <c r="B114" t="s">
        <v>220</v>
      </c>
      <c r="C114" s="9" t="s">
        <v>221</v>
      </c>
      <c r="D114" s="9" t="s">
        <v>75</v>
      </c>
      <c r="E114" s="9" t="s">
        <v>84</v>
      </c>
      <c r="F114" t="s">
        <v>1657</v>
      </c>
      <c r="G114">
        <v>32</v>
      </c>
      <c r="H114" s="11">
        <v>4776000</v>
      </c>
      <c r="I114" s="10">
        <v>5.1134894922506904</v>
      </c>
    </row>
    <row r="115" spans="2:9" x14ac:dyDescent="0.25">
      <c r="B115" t="s">
        <v>88</v>
      </c>
      <c r="C115" s="9" t="s">
        <v>89</v>
      </c>
      <c r="D115" s="9" t="s">
        <v>114</v>
      </c>
      <c r="E115" s="9" t="s">
        <v>17</v>
      </c>
      <c r="F115" t="s">
        <v>1656</v>
      </c>
      <c r="G115">
        <v>34</v>
      </c>
      <c r="H115" s="11">
        <v>4595000</v>
      </c>
      <c r="I115" s="10">
        <v>5.0842665968358602</v>
      </c>
    </row>
    <row r="116" spans="2:9" x14ac:dyDescent="0.25">
      <c r="B116" t="s">
        <v>455</v>
      </c>
      <c r="C116" s="9" t="s">
        <v>456</v>
      </c>
      <c r="D116" s="9" t="s">
        <v>87</v>
      </c>
      <c r="E116" s="9" t="s">
        <v>84</v>
      </c>
      <c r="F116" t="s">
        <v>1655</v>
      </c>
      <c r="G116">
        <v>24</v>
      </c>
      <c r="H116" s="11">
        <v>3582003</v>
      </c>
      <c r="I116" s="10">
        <v>5.0826015292146796</v>
      </c>
    </row>
    <row r="117" spans="2:9" x14ac:dyDescent="0.25">
      <c r="B117" t="s">
        <v>212</v>
      </c>
      <c r="C117" s="9" t="s">
        <v>213</v>
      </c>
      <c r="D117" s="9" t="s">
        <v>131</v>
      </c>
      <c r="E117" s="9" t="s">
        <v>43</v>
      </c>
      <c r="F117" t="s">
        <v>1660</v>
      </c>
      <c r="G117">
        <v>28</v>
      </c>
      <c r="H117" s="11">
        <v>3564323</v>
      </c>
      <c r="I117" s="10">
        <v>5.0810986104501996</v>
      </c>
    </row>
    <row r="118" spans="2:9" x14ac:dyDescent="0.25">
      <c r="B118" t="s">
        <v>255</v>
      </c>
      <c r="C118" s="9" t="s">
        <v>256</v>
      </c>
      <c r="D118" s="9" t="s">
        <v>78</v>
      </c>
      <c r="E118" s="9" t="s">
        <v>84</v>
      </c>
      <c r="F118" t="s">
        <v>1667</v>
      </c>
      <c r="G118">
        <v>35</v>
      </c>
      <c r="H118" s="11">
        <v>2417000</v>
      </c>
      <c r="I118" s="10">
        <v>5.0730053349735504</v>
      </c>
    </row>
    <row r="119" spans="2:9" x14ac:dyDescent="0.25">
      <c r="B119" t="s">
        <v>381</v>
      </c>
      <c r="C119" s="9" t="s">
        <v>382</v>
      </c>
      <c r="D119" s="9" t="s">
        <v>239</v>
      </c>
      <c r="E119" s="9" t="s">
        <v>84</v>
      </c>
      <c r="F119" t="s">
        <v>1661</v>
      </c>
      <c r="G119">
        <v>27</v>
      </c>
      <c r="H119" s="11">
        <v>5631555</v>
      </c>
      <c r="I119" s="10">
        <v>5.0678919792972401</v>
      </c>
    </row>
    <row r="120" spans="2:9" x14ac:dyDescent="0.25">
      <c r="B120" t="s">
        <v>281</v>
      </c>
      <c r="C120" s="9" t="s">
        <v>282</v>
      </c>
      <c r="D120" s="9" t="s">
        <v>104</v>
      </c>
      <c r="E120" s="9" t="s">
        <v>84</v>
      </c>
      <c r="F120" t="s">
        <v>1663</v>
      </c>
      <c r="G120">
        <v>28</v>
      </c>
      <c r="H120" s="11">
        <v>2645179</v>
      </c>
      <c r="I120" s="10">
        <v>5.0583428514676996</v>
      </c>
    </row>
    <row r="121" spans="2:9" x14ac:dyDescent="0.25">
      <c r="B121" t="s">
        <v>222</v>
      </c>
      <c r="C121" s="9" t="s">
        <v>223</v>
      </c>
      <c r="D121" s="9" t="s">
        <v>16</v>
      </c>
      <c r="E121" s="9" t="s">
        <v>10</v>
      </c>
      <c r="F121" t="s">
        <v>1663</v>
      </c>
      <c r="G121">
        <v>28</v>
      </c>
      <c r="H121" s="11">
        <v>4670000</v>
      </c>
      <c r="I121" s="10">
        <v>5.0537669447579097</v>
      </c>
    </row>
    <row r="122" spans="2:9" x14ac:dyDescent="0.25">
      <c r="B122" t="s">
        <v>34</v>
      </c>
      <c r="C122" s="9" t="s">
        <v>35</v>
      </c>
      <c r="D122" s="9" t="s">
        <v>36</v>
      </c>
      <c r="E122" s="9" t="s">
        <v>37</v>
      </c>
      <c r="F122" t="s">
        <v>1667</v>
      </c>
      <c r="G122">
        <v>35</v>
      </c>
      <c r="H122" s="11">
        <v>4947000</v>
      </c>
      <c r="I122" s="10">
        <v>5.0302203985892504</v>
      </c>
    </row>
    <row r="123" spans="2:9" x14ac:dyDescent="0.25">
      <c r="B123" t="s">
        <v>124</v>
      </c>
      <c r="C123" s="9" t="s">
        <v>125</v>
      </c>
      <c r="D123" s="9" t="s">
        <v>117</v>
      </c>
      <c r="E123" s="9" t="s">
        <v>84</v>
      </c>
      <c r="F123" t="s">
        <v>1656</v>
      </c>
      <c r="G123">
        <v>30</v>
      </c>
      <c r="H123" s="11">
        <v>4688878</v>
      </c>
      <c r="I123" s="10">
        <v>5.0285510754945903</v>
      </c>
    </row>
    <row r="124" spans="2:9" x14ac:dyDescent="0.25">
      <c r="B124" t="s">
        <v>1350</v>
      </c>
      <c r="C124" s="9" t="s">
        <v>1604</v>
      </c>
      <c r="D124" s="9" t="s">
        <v>53</v>
      </c>
      <c r="E124" s="9" t="s">
        <v>43</v>
      </c>
      <c r="F124" t="s">
        <v>1665</v>
      </c>
      <c r="G124">
        <v>29</v>
      </c>
      <c r="H124" s="11">
        <v>2472000</v>
      </c>
      <c r="I124" s="10">
        <v>5.02502802495595</v>
      </c>
    </row>
    <row r="125" spans="2:9" x14ac:dyDescent="0.25">
      <c r="B125" t="s">
        <v>311</v>
      </c>
      <c r="C125" s="9" t="s">
        <v>312</v>
      </c>
      <c r="D125" s="9" t="s">
        <v>27</v>
      </c>
      <c r="E125" s="9" t="s">
        <v>43</v>
      </c>
      <c r="F125" t="s">
        <v>1657</v>
      </c>
      <c r="G125">
        <v>30</v>
      </c>
      <c r="H125" s="11">
        <v>2207000</v>
      </c>
      <c r="I125" s="10">
        <v>4.98969615051438</v>
      </c>
    </row>
    <row r="126" spans="2:9" x14ac:dyDescent="0.25">
      <c r="B126" t="s">
        <v>140</v>
      </c>
      <c r="C126" s="9" t="s">
        <v>141</v>
      </c>
      <c r="D126" s="9" t="s">
        <v>24</v>
      </c>
      <c r="E126" s="9" t="s">
        <v>37</v>
      </c>
      <c r="F126" t="s">
        <v>1667</v>
      </c>
      <c r="G126">
        <v>32</v>
      </c>
      <c r="H126" s="11">
        <v>2849000</v>
      </c>
      <c r="I126" s="10">
        <v>4.9813103192058801</v>
      </c>
    </row>
    <row r="127" spans="2:9" x14ac:dyDescent="0.25">
      <c r="B127" t="s">
        <v>319</v>
      </c>
      <c r="C127" s="9" t="s">
        <v>320</v>
      </c>
      <c r="D127" s="9" t="s">
        <v>20</v>
      </c>
      <c r="E127" s="9" t="s">
        <v>10</v>
      </c>
      <c r="F127" t="s">
        <v>1668</v>
      </c>
      <c r="G127">
        <v>26</v>
      </c>
      <c r="H127" s="11">
        <v>1767000</v>
      </c>
      <c r="I127" s="10">
        <v>4.9635426551362603</v>
      </c>
    </row>
    <row r="128" spans="2:9" x14ac:dyDescent="0.25">
      <c r="B128" t="s">
        <v>279</v>
      </c>
      <c r="C128" s="9" t="s">
        <v>280</v>
      </c>
      <c r="D128" s="9" t="s">
        <v>236</v>
      </c>
      <c r="E128" s="9" t="s">
        <v>84</v>
      </c>
      <c r="F128" t="s">
        <v>1655</v>
      </c>
      <c r="G128">
        <v>25</v>
      </c>
      <c r="H128" s="11">
        <v>3580427</v>
      </c>
      <c r="I128" s="10">
        <v>4.9608383717322404</v>
      </c>
    </row>
    <row r="129" spans="2:9" x14ac:dyDescent="0.25">
      <c r="B129" t="s">
        <v>349</v>
      </c>
      <c r="C129" s="9" t="s">
        <v>350</v>
      </c>
      <c r="D129" s="9" t="s">
        <v>96</v>
      </c>
      <c r="E129" s="9" t="s">
        <v>84</v>
      </c>
      <c r="F129" t="s">
        <v>1662</v>
      </c>
      <c r="G129">
        <v>31</v>
      </c>
      <c r="H129" s="11">
        <v>2690000</v>
      </c>
      <c r="I129" s="10">
        <v>4.9550586033129003</v>
      </c>
    </row>
    <row r="130" spans="2:9" x14ac:dyDescent="0.25">
      <c r="B130" t="s">
        <v>245</v>
      </c>
      <c r="C130" s="9" t="s">
        <v>246</v>
      </c>
      <c r="D130" s="9" t="s">
        <v>96</v>
      </c>
      <c r="E130" s="9" t="s">
        <v>132</v>
      </c>
      <c r="F130" t="s">
        <v>1655</v>
      </c>
      <c r="G130">
        <v>27</v>
      </c>
      <c r="H130" s="11">
        <v>1631000</v>
      </c>
      <c r="I130" s="10">
        <v>4.9515967798105596</v>
      </c>
    </row>
    <row r="131" spans="2:9" x14ac:dyDescent="0.25">
      <c r="B131" t="s">
        <v>1524</v>
      </c>
      <c r="C131" s="9" t="s">
        <v>1580</v>
      </c>
      <c r="D131" s="9" t="s">
        <v>153</v>
      </c>
      <c r="E131" s="9" t="s">
        <v>17</v>
      </c>
      <c r="F131" t="s">
        <v>1655</v>
      </c>
      <c r="G131">
        <v>23</v>
      </c>
      <c r="H131" s="11">
        <v>1897000</v>
      </c>
      <c r="I131" s="10">
        <v>4.9485697168764604</v>
      </c>
    </row>
    <row r="132" spans="2:9" x14ac:dyDescent="0.25">
      <c r="B132" t="s">
        <v>353</v>
      </c>
      <c r="C132" s="9" t="s">
        <v>354</v>
      </c>
      <c r="D132" s="9" t="s">
        <v>117</v>
      </c>
      <c r="E132" s="9" t="s">
        <v>84</v>
      </c>
      <c r="F132" t="s">
        <v>1668</v>
      </c>
      <c r="G132">
        <v>35</v>
      </c>
      <c r="H132" s="11">
        <v>2316000</v>
      </c>
      <c r="I132" s="10">
        <v>4.9365554843549804</v>
      </c>
    </row>
    <row r="133" spans="2:9" x14ac:dyDescent="0.25">
      <c r="B133" t="s">
        <v>435</v>
      </c>
      <c r="C133" s="9" t="s">
        <v>436</v>
      </c>
      <c r="D133" s="9" t="s">
        <v>239</v>
      </c>
      <c r="E133" s="9" t="s">
        <v>84</v>
      </c>
      <c r="F133" t="s">
        <v>1664</v>
      </c>
      <c r="G133">
        <v>26</v>
      </c>
      <c r="H133" s="11">
        <v>1848000</v>
      </c>
      <c r="I133" s="10">
        <v>4.93570155607659</v>
      </c>
    </row>
    <row r="134" spans="2:9" x14ac:dyDescent="0.25">
      <c r="B134" t="s">
        <v>186</v>
      </c>
      <c r="C134" s="9" t="s">
        <v>187</v>
      </c>
      <c r="D134" s="9" t="s">
        <v>20</v>
      </c>
      <c r="E134" s="9" t="s">
        <v>10</v>
      </c>
      <c r="F134" t="s">
        <v>1656</v>
      </c>
      <c r="G134">
        <v>30</v>
      </c>
      <c r="H134" s="11">
        <v>2950000</v>
      </c>
      <c r="I134" s="10">
        <v>4.9259360901903202</v>
      </c>
    </row>
    <row r="135" spans="2:9" x14ac:dyDescent="0.25">
      <c r="B135" t="s">
        <v>200</v>
      </c>
      <c r="C135" s="9" t="s">
        <v>201</v>
      </c>
      <c r="D135" s="9" t="s">
        <v>53</v>
      </c>
      <c r="E135" s="9" t="s">
        <v>10</v>
      </c>
      <c r="F135" t="s">
        <v>1660</v>
      </c>
      <c r="G135">
        <v>38</v>
      </c>
      <c r="H135" s="11">
        <v>2348000</v>
      </c>
      <c r="I135" s="10">
        <v>4.9249326492071903</v>
      </c>
    </row>
    <row r="136" spans="2:9" x14ac:dyDescent="0.25">
      <c r="B136" t="s">
        <v>108</v>
      </c>
      <c r="C136" s="9" t="s">
        <v>109</v>
      </c>
      <c r="D136" s="9" t="s">
        <v>72</v>
      </c>
      <c r="E136" s="9" t="s">
        <v>30</v>
      </c>
      <c r="F136" t="s">
        <v>1664</v>
      </c>
      <c r="G136">
        <v>28</v>
      </c>
      <c r="H136" s="11">
        <v>3030000</v>
      </c>
      <c r="I136" s="10">
        <v>4.9153798077189004</v>
      </c>
    </row>
    <row r="137" spans="2:9" x14ac:dyDescent="0.25">
      <c r="B137" t="s">
        <v>156</v>
      </c>
      <c r="C137" s="9" t="s">
        <v>157</v>
      </c>
      <c r="D137" s="9" t="s">
        <v>78</v>
      </c>
      <c r="E137" s="9" t="s">
        <v>10</v>
      </c>
      <c r="F137" t="s">
        <v>1654</v>
      </c>
      <c r="G137">
        <v>39</v>
      </c>
      <c r="H137" s="11">
        <v>3675000</v>
      </c>
      <c r="I137" s="10">
        <v>4.9115389854197202</v>
      </c>
    </row>
    <row r="138" spans="2:9" x14ac:dyDescent="0.25">
      <c r="B138" t="s">
        <v>303</v>
      </c>
      <c r="C138" s="9" t="s">
        <v>304</v>
      </c>
      <c r="D138" s="9" t="s">
        <v>20</v>
      </c>
      <c r="E138" s="9" t="s">
        <v>84</v>
      </c>
      <c r="F138" t="s">
        <v>1664</v>
      </c>
      <c r="G138">
        <v>27</v>
      </c>
      <c r="H138" s="11">
        <v>3582129</v>
      </c>
      <c r="I138" s="10">
        <v>4.8923256709283898</v>
      </c>
    </row>
    <row r="139" spans="2:9" x14ac:dyDescent="0.25">
      <c r="B139" t="s">
        <v>383</v>
      </c>
      <c r="C139" s="9" t="s">
        <v>384</v>
      </c>
      <c r="D139" s="9" t="s">
        <v>16</v>
      </c>
      <c r="E139" s="9" t="s">
        <v>10</v>
      </c>
      <c r="F139" t="s">
        <v>1663</v>
      </c>
      <c r="G139">
        <v>23</v>
      </c>
      <c r="H139" s="11">
        <v>4895000</v>
      </c>
      <c r="I139" s="10">
        <v>4.89021137876954</v>
      </c>
    </row>
    <row r="140" spans="2:9" x14ac:dyDescent="0.25">
      <c r="B140" t="s">
        <v>369</v>
      </c>
      <c r="C140" s="9" t="s">
        <v>370</v>
      </c>
      <c r="D140" s="9" t="s">
        <v>33</v>
      </c>
      <c r="E140" s="9" t="s">
        <v>84</v>
      </c>
      <c r="F140" t="s">
        <v>1664</v>
      </c>
      <c r="G140">
        <v>27</v>
      </c>
      <c r="H140" s="11">
        <v>4709301</v>
      </c>
      <c r="I140" s="10">
        <v>4.8887176978206002</v>
      </c>
    </row>
    <row r="141" spans="2:9" x14ac:dyDescent="0.25">
      <c r="B141" t="s">
        <v>429</v>
      </c>
      <c r="C141" s="9" t="s">
        <v>430</v>
      </c>
      <c r="D141" s="9" t="s">
        <v>101</v>
      </c>
      <c r="E141" s="9" t="s">
        <v>84</v>
      </c>
      <c r="F141" t="s">
        <v>1654</v>
      </c>
      <c r="G141">
        <v>26</v>
      </c>
      <c r="H141" s="11">
        <v>3541488</v>
      </c>
      <c r="I141" s="10">
        <v>4.8665839774382702</v>
      </c>
    </row>
    <row r="142" spans="2:9" x14ac:dyDescent="0.25">
      <c r="B142" t="s">
        <v>387</v>
      </c>
      <c r="C142" s="9" t="s">
        <v>388</v>
      </c>
      <c r="D142" s="9" t="s">
        <v>107</v>
      </c>
      <c r="E142" s="9" t="s">
        <v>84</v>
      </c>
      <c r="F142" t="s">
        <v>1662</v>
      </c>
      <c r="G142">
        <v>30</v>
      </c>
      <c r="H142" s="11">
        <v>3964662</v>
      </c>
      <c r="I142" s="10">
        <v>4.8458296584673102</v>
      </c>
    </row>
    <row r="143" spans="2:9" x14ac:dyDescent="0.25">
      <c r="B143" t="s">
        <v>333</v>
      </c>
      <c r="C143" s="9" t="s">
        <v>334</v>
      </c>
      <c r="D143" s="9" t="s">
        <v>24</v>
      </c>
      <c r="E143" s="9" t="s">
        <v>84</v>
      </c>
      <c r="F143" t="s">
        <v>1660</v>
      </c>
      <c r="G143">
        <v>35</v>
      </c>
      <c r="H143" s="11">
        <v>1964000</v>
      </c>
      <c r="I143" s="10">
        <v>4.8291100459769698</v>
      </c>
    </row>
    <row r="144" spans="2:9" x14ac:dyDescent="0.25">
      <c r="B144" t="s">
        <v>343</v>
      </c>
      <c r="C144" s="9" t="s">
        <v>344</v>
      </c>
      <c r="D144" s="9" t="s">
        <v>117</v>
      </c>
      <c r="E144" s="9" t="s">
        <v>17</v>
      </c>
      <c r="F144" t="s">
        <v>1667</v>
      </c>
      <c r="G144">
        <v>29</v>
      </c>
      <c r="H144" s="11">
        <v>2112000</v>
      </c>
      <c r="I144" s="10">
        <v>4.8233849834603202</v>
      </c>
    </row>
    <row r="145" spans="2:9" x14ac:dyDescent="0.25">
      <c r="B145" t="s">
        <v>291</v>
      </c>
      <c r="C145" s="9" t="s">
        <v>292</v>
      </c>
      <c r="D145" s="9" t="s">
        <v>72</v>
      </c>
      <c r="E145" s="9" t="s">
        <v>43</v>
      </c>
      <c r="F145" t="s">
        <v>1668</v>
      </c>
      <c r="G145">
        <v>30</v>
      </c>
      <c r="H145" s="11">
        <v>2107000</v>
      </c>
      <c r="I145" s="10">
        <v>4.8122609676088102</v>
      </c>
    </row>
    <row r="146" spans="2:9" x14ac:dyDescent="0.25">
      <c r="B146" t="s">
        <v>299</v>
      </c>
      <c r="C146" s="9" t="s">
        <v>300</v>
      </c>
      <c r="D146" s="9" t="s">
        <v>242</v>
      </c>
      <c r="E146" s="9" t="s">
        <v>30</v>
      </c>
      <c r="F146" t="s">
        <v>1656</v>
      </c>
      <c r="G146">
        <v>33</v>
      </c>
      <c r="H146" s="11">
        <v>1918000</v>
      </c>
      <c r="I146" s="10">
        <v>4.80265548579988</v>
      </c>
    </row>
    <row r="147" spans="2:9" x14ac:dyDescent="0.25">
      <c r="B147" t="s">
        <v>283</v>
      </c>
      <c r="C147" s="9" t="s">
        <v>284</v>
      </c>
      <c r="D147" s="9" t="s">
        <v>78</v>
      </c>
      <c r="E147" s="9" t="s">
        <v>84</v>
      </c>
      <c r="F147" t="s">
        <v>1666</v>
      </c>
      <c r="G147">
        <v>38</v>
      </c>
      <c r="H147" s="11">
        <v>2394000</v>
      </c>
      <c r="I147" s="10">
        <v>4.7942046649754104</v>
      </c>
    </row>
    <row r="148" spans="2:9" x14ac:dyDescent="0.25">
      <c r="B148" t="s">
        <v>198</v>
      </c>
      <c r="C148" s="9" t="s">
        <v>199</v>
      </c>
      <c r="D148" s="9" t="s">
        <v>46</v>
      </c>
      <c r="E148" s="9" t="s">
        <v>43</v>
      </c>
      <c r="F148" t="s">
        <v>1668</v>
      </c>
      <c r="G148">
        <v>36</v>
      </c>
      <c r="H148" s="11">
        <v>1427000</v>
      </c>
      <c r="I148" s="10">
        <v>4.7898736493007998</v>
      </c>
    </row>
    <row r="149" spans="2:9" x14ac:dyDescent="0.25">
      <c r="B149" t="s">
        <v>1351</v>
      </c>
      <c r="C149" s="9" t="s">
        <v>1581</v>
      </c>
      <c r="D149" s="9" t="s">
        <v>81</v>
      </c>
      <c r="E149" s="9" t="s">
        <v>84</v>
      </c>
      <c r="F149" t="s">
        <v>1659</v>
      </c>
      <c r="G149">
        <v>23</v>
      </c>
      <c r="H149" s="11">
        <v>2993000</v>
      </c>
      <c r="I149" s="10">
        <v>4.7897453400458501</v>
      </c>
    </row>
    <row r="150" spans="2:9" x14ac:dyDescent="0.25">
      <c r="B150" t="s">
        <v>371</v>
      </c>
      <c r="C150" s="9" t="s">
        <v>372</v>
      </c>
      <c r="D150" s="9" t="s">
        <v>114</v>
      </c>
      <c r="E150" s="9" t="s">
        <v>10</v>
      </c>
      <c r="F150" t="s">
        <v>1659</v>
      </c>
      <c r="G150">
        <v>22</v>
      </c>
      <c r="H150" s="11">
        <v>1673000</v>
      </c>
      <c r="I150" s="10">
        <v>4.7870543642024002</v>
      </c>
    </row>
    <row r="151" spans="2:9" x14ac:dyDescent="0.25">
      <c r="B151" t="s">
        <v>337</v>
      </c>
      <c r="C151" s="9" t="s">
        <v>338</v>
      </c>
      <c r="D151" s="9" t="s">
        <v>81</v>
      </c>
      <c r="E151" s="9" t="s">
        <v>43</v>
      </c>
      <c r="F151" t="s">
        <v>1656</v>
      </c>
      <c r="G151">
        <v>26</v>
      </c>
      <c r="H151" s="11">
        <v>2364000</v>
      </c>
      <c r="I151" s="10">
        <v>4.7777880811470101</v>
      </c>
    </row>
    <row r="152" spans="2:9" x14ac:dyDescent="0.25">
      <c r="B152" t="s">
        <v>82</v>
      </c>
      <c r="C152" s="9" t="s">
        <v>83</v>
      </c>
      <c r="D152" s="9" t="s">
        <v>36</v>
      </c>
      <c r="E152" s="9" t="s">
        <v>84</v>
      </c>
      <c r="F152" t="s">
        <v>1659</v>
      </c>
      <c r="G152">
        <v>35</v>
      </c>
      <c r="H152" s="11">
        <v>4741000</v>
      </c>
      <c r="I152" s="10">
        <v>4.7752947518277198</v>
      </c>
    </row>
    <row r="153" spans="2:9" x14ac:dyDescent="0.25">
      <c r="B153" t="s">
        <v>309</v>
      </c>
      <c r="C153" s="9" t="s">
        <v>310</v>
      </c>
      <c r="D153" s="9" t="s">
        <v>81</v>
      </c>
      <c r="E153" s="9" t="s">
        <v>10</v>
      </c>
      <c r="F153" t="s">
        <v>1663</v>
      </c>
      <c r="G153">
        <v>24</v>
      </c>
      <c r="H153" s="11">
        <v>3660000</v>
      </c>
      <c r="I153" s="10">
        <v>4.7681635758740599</v>
      </c>
    </row>
    <row r="154" spans="2:9" x14ac:dyDescent="0.25">
      <c r="B154" t="s">
        <v>194</v>
      </c>
      <c r="C154" s="9" t="s">
        <v>195</v>
      </c>
      <c r="D154" s="9" t="s">
        <v>104</v>
      </c>
      <c r="E154" s="9" t="s">
        <v>84</v>
      </c>
      <c r="F154" t="s">
        <v>1665</v>
      </c>
      <c r="G154">
        <v>31</v>
      </c>
      <c r="H154" s="11">
        <v>4160667</v>
      </c>
      <c r="I154" s="10">
        <v>4.7645522198646999</v>
      </c>
    </row>
    <row r="155" spans="2:9" x14ac:dyDescent="0.25">
      <c r="B155" t="s">
        <v>377</v>
      </c>
      <c r="C155" s="9" t="s">
        <v>378</v>
      </c>
      <c r="D155" s="9" t="s">
        <v>239</v>
      </c>
      <c r="E155" s="9" t="s">
        <v>43</v>
      </c>
      <c r="F155" t="s">
        <v>1654</v>
      </c>
      <c r="G155">
        <v>28</v>
      </c>
      <c r="H155" s="11">
        <v>1570000</v>
      </c>
      <c r="I155" s="10">
        <v>4.7273106604781399</v>
      </c>
    </row>
    <row r="156" spans="2:9" x14ac:dyDescent="0.25">
      <c r="B156" t="s">
        <v>179</v>
      </c>
      <c r="C156" s="9" t="s">
        <v>180</v>
      </c>
      <c r="D156" s="9" t="s">
        <v>181</v>
      </c>
      <c r="E156" s="9" t="s">
        <v>43</v>
      </c>
      <c r="F156" t="s">
        <v>1665</v>
      </c>
      <c r="G156">
        <v>31</v>
      </c>
      <c r="H156" s="11">
        <v>1929000</v>
      </c>
      <c r="I156" s="10">
        <v>4.7239930994950399</v>
      </c>
    </row>
    <row r="157" spans="2:9" x14ac:dyDescent="0.25">
      <c r="B157" t="s">
        <v>305</v>
      </c>
      <c r="C157" s="9" t="s">
        <v>306</v>
      </c>
      <c r="D157" s="9" t="s">
        <v>36</v>
      </c>
      <c r="E157" s="9" t="s">
        <v>17</v>
      </c>
      <c r="F157" t="s">
        <v>1668</v>
      </c>
      <c r="G157">
        <v>30</v>
      </c>
      <c r="H157" s="11">
        <v>2001000</v>
      </c>
      <c r="I157" s="10">
        <v>4.7198206294643503</v>
      </c>
    </row>
    <row r="158" spans="2:9" x14ac:dyDescent="0.25">
      <c r="B158" t="s">
        <v>58</v>
      </c>
      <c r="C158" s="9" t="s">
        <v>59</v>
      </c>
      <c r="D158" s="9" t="s">
        <v>24</v>
      </c>
      <c r="E158" s="9" t="s">
        <v>21</v>
      </c>
      <c r="F158" t="s">
        <v>1656</v>
      </c>
      <c r="G158">
        <v>33</v>
      </c>
      <c r="H158" s="11">
        <v>4744945</v>
      </c>
      <c r="I158" s="10">
        <v>4.6982770529065103</v>
      </c>
    </row>
    <row r="159" spans="2:9" x14ac:dyDescent="0.25">
      <c r="B159" t="s">
        <v>261</v>
      </c>
      <c r="C159" s="9" t="s">
        <v>262</v>
      </c>
      <c r="D159" s="9" t="s">
        <v>181</v>
      </c>
      <c r="E159" s="9" t="s">
        <v>43</v>
      </c>
      <c r="F159" t="s">
        <v>1668</v>
      </c>
      <c r="G159">
        <v>30</v>
      </c>
      <c r="H159" s="11">
        <v>2070000</v>
      </c>
      <c r="I159" s="10">
        <v>4.68722419788745</v>
      </c>
    </row>
    <row r="160" spans="2:9" x14ac:dyDescent="0.25">
      <c r="B160" t="s">
        <v>321</v>
      </c>
      <c r="C160" s="9" t="s">
        <v>322</v>
      </c>
      <c r="D160" s="9" t="s">
        <v>33</v>
      </c>
      <c r="E160" s="9" t="s">
        <v>43</v>
      </c>
      <c r="F160" t="s">
        <v>1656</v>
      </c>
      <c r="G160">
        <v>23</v>
      </c>
      <c r="H160" s="11">
        <v>4404000</v>
      </c>
      <c r="I160" s="10">
        <v>4.6613819399664704</v>
      </c>
    </row>
    <row r="161" spans="2:9" x14ac:dyDescent="0.25">
      <c r="B161" t="s">
        <v>465</v>
      </c>
      <c r="C161" s="9" t="s">
        <v>466</v>
      </c>
      <c r="D161" s="9" t="s">
        <v>131</v>
      </c>
      <c r="E161" s="9" t="s">
        <v>84</v>
      </c>
      <c r="F161" t="s">
        <v>1667</v>
      </c>
      <c r="G161">
        <v>27</v>
      </c>
      <c r="H161" s="11">
        <v>1719000</v>
      </c>
      <c r="I161" s="10">
        <v>4.6548836446582502</v>
      </c>
    </row>
    <row r="162" spans="2:9" x14ac:dyDescent="0.25">
      <c r="B162" t="s">
        <v>365</v>
      </c>
      <c r="C162" s="9" t="s">
        <v>366</v>
      </c>
      <c r="D162" s="9" t="s">
        <v>81</v>
      </c>
      <c r="E162" s="9" t="s">
        <v>84</v>
      </c>
      <c r="F162" t="s">
        <v>1663</v>
      </c>
      <c r="G162">
        <v>28</v>
      </c>
      <c r="H162" s="11">
        <v>5786387</v>
      </c>
      <c r="I162" s="10">
        <v>4.65462061153106</v>
      </c>
    </row>
    <row r="163" spans="2:9" x14ac:dyDescent="0.25">
      <c r="B163" t="s">
        <v>357</v>
      </c>
      <c r="C163" s="9" t="s">
        <v>358</v>
      </c>
      <c r="D163" s="9" t="s">
        <v>101</v>
      </c>
      <c r="E163" s="9" t="s">
        <v>30</v>
      </c>
      <c r="F163" t="s">
        <v>1667</v>
      </c>
      <c r="G163">
        <v>33</v>
      </c>
      <c r="H163" s="11">
        <v>2054000</v>
      </c>
      <c r="I163" s="10">
        <v>4.6398861175177402</v>
      </c>
    </row>
    <row r="164" spans="2:9" x14ac:dyDescent="0.25">
      <c r="B164" t="s">
        <v>463</v>
      </c>
      <c r="C164" s="9" t="s">
        <v>464</v>
      </c>
      <c r="D164" s="9" t="s">
        <v>72</v>
      </c>
      <c r="E164" s="9" t="s">
        <v>17</v>
      </c>
      <c r="F164" t="s">
        <v>1664</v>
      </c>
      <c r="G164">
        <v>35</v>
      </c>
      <c r="H164" s="11">
        <v>2324000</v>
      </c>
      <c r="I164" s="10">
        <v>4.6337057733462998</v>
      </c>
    </row>
    <row r="165" spans="2:9" x14ac:dyDescent="0.25">
      <c r="B165" t="s">
        <v>421</v>
      </c>
      <c r="C165" s="9" t="s">
        <v>422</v>
      </c>
      <c r="D165" s="9" t="s">
        <v>107</v>
      </c>
      <c r="E165" s="9" t="s">
        <v>84</v>
      </c>
      <c r="F165" t="s">
        <v>1667</v>
      </c>
      <c r="G165">
        <v>29</v>
      </c>
      <c r="H165" s="11">
        <v>2945000</v>
      </c>
      <c r="I165" s="10">
        <v>4.6176422804767299</v>
      </c>
    </row>
    <row r="166" spans="2:9" x14ac:dyDescent="0.25">
      <c r="B166" t="s">
        <v>549</v>
      </c>
      <c r="C166" s="9" t="s">
        <v>550</v>
      </c>
      <c r="D166" s="9" t="s">
        <v>9</v>
      </c>
      <c r="E166" s="9" t="s">
        <v>132</v>
      </c>
      <c r="F166" t="s">
        <v>1656</v>
      </c>
      <c r="G166">
        <v>29</v>
      </c>
      <c r="H166" s="11">
        <v>1880000</v>
      </c>
      <c r="I166" s="10">
        <v>4.6053511836852099</v>
      </c>
    </row>
    <row r="167" spans="2:9" x14ac:dyDescent="0.25">
      <c r="B167" t="s">
        <v>405</v>
      </c>
      <c r="C167" s="9" t="s">
        <v>406</v>
      </c>
      <c r="D167" s="9" t="s">
        <v>72</v>
      </c>
      <c r="E167" s="9" t="s">
        <v>21</v>
      </c>
      <c r="F167" t="s">
        <v>1658</v>
      </c>
      <c r="G167">
        <v>34</v>
      </c>
      <c r="H167" s="11">
        <v>3729000</v>
      </c>
      <c r="I167" s="10">
        <v>4.6020944159783204</v>
      </c>
    </row>
    <row r="168" spans="2:9" x14ac:dyDescent="0.25">
      <c r="B168" t="s">
        <v>347</v>
      </c>
      <c r="C168" s="9" t="s">
        <v>348</v>
      </c>
      <c r="D168" s="9" t="s">
        <v>24</v>
      </c>
      <c r="E168" s="9" t="s">
        <v>84</v>
      </c>
      <c r="F168" t="s">
        <v>1666</v>
      </c>
      <c r="G168">
        <v>30</v>
      </c>
      <c r="H168" s="11">
        <v>5515826</v>
      </c>
      <c r="I168" s="10">
        <v>4.5837963440206897</v>
      </c>
    </row>
    <row r="169" spans="2:9" x14ac:dyDescent="0.25">
      <c r="B169" t="s">
        <v>251</v>
      </c>
      <c r="C169" s="9" t="s">
        <v>252</v>
      </c>
      <c r="D169" s="9" t="s">
        <v>9</v>
      </c>
      <c r="E169" s="9" t="s">
        <v>84</v>
      </c>
      <c r="F169" t="s">
        <v>1667</v>
      </c>
      <c r="G169">
        <v>31</v>
      </c>
      <c r="H169" s="11">
        <v>2759000</v>
      </c>
      <c r="I169" s="10">
        <v>4.5697906827372901</v>
      </c>
    </row>
    <row r="170" spans="2:9" x14ac:dyDescent="0.25">
      <c r="B170" t="s">
        <v>551</v>
      </c>
      <c r="C170" s="9" t="s">
        <v>552</v>
      </c>
      <c r="D170" s="9" t="s">
        <v>46</v>
      </c>
      <c r="E170" s="9" t="s">
        <v>17</v>
      </c>
      <c r="F170" t="s">
        <v>1668</v>
      </c>
      <c r="G170">
        <v>33</v>
      </c>
      <c r="H170" s="11">
        <v>1779000</v>
      </c>
      <c r="I170" s="10">
        <v>4.5671233352896898</v>
      </c>
    </row>
    <row r="171" spans="2:9" x14ac:dyDescent="0.25">
      <c r="B171" t="s">
        <v>411</v>
      </c>
      <c r="C171" s="9" t="s">
        <v>412</v>
      </c>
      <c r="D171" s="9" t="s">
        <v>104</v>
      </c>
      <c r="E171" s="9" t="s">
        <v>17</v>
      </c>
      <c r="F171" t="s">
        <v>1667</v>
      </c>
      <c r="G171">
        <v>30</v>
      </c>
      <c r="H171" s="11">
        <v>1978000</v>
      </c>
      <c r="I171" s="10">
        <v>4.5308692353334798</v>
      </c>
    </row>
    <row r="172" spans="2:9" x14ac:dyDescent="0.25">
      <c r="B172" t="s">
        <v>373</v>
      </c>
      <c r="C172" s="9" t="s">
        <v>374</v>
      </c>
      <c r="D172" s="9" t="s">
        <v>104</v>
      </c>
      <c r="E172" s="9" t="s">
        <v>17</v>
      </c>
      <c r="F172" t="s">
        <v>1654</v>
      </c>
      <c r="G172">
        <v>26</v>
      </c>
      <c r="H172" s="11">
        <v>2048000</v>
      </c>
      <c r="I172" s="10">
        <v>4.52004185404867</v>
      </c>
    </row>
    <row r="173" spans="2:9" x14ac:dyDescent="0.25">
      <c r="B173" t="s">
        <v>363</v>
      </c>
      <c r="C173" s="9" t="s">
        <v>364</v>
      </c>
      <c r="D173" s="9" t="s">
        <v>53</v>
      </c>
      <c r="E173" s="9" t="s">
        <v>84</v>
      </c>
      <c r="F173" t="s">
        <v>1662</v>
      </c>
      <c r="G173">
        <v>35</v>
      </c>
      <c r="H173" s="11">
        <v>2446000</v>
      </c>
      <c r="I173" s="10">
        <v>4.5091660867774799</v>
      </c>
    </row>
    <row r="174" spans="2:9" x14ac:dyDescent="0.25">
      <c r="B174" t="s">
        <v>265</v>
      </c>
      <c r="C174" s="9" t="s">
        <v>266</v>
      </c>
      <c r="D174" s="9" t="s">
        <v>20</v>
      </c>
      <c r="E174" s="9" t="s">
        <v>37</v>
      </c>
      <c r="F174" t="s">
        <v>1665</v>
      </c>
      <c r="G174">
        <v>28</v>
      </c>
      <c r="H174" s="11">
        <v>2214000</v>
      </c>
      <c r="I174" s="10">
        <v>4.5019730608196697</v>
      </c>
    </row>
    <row r="175" spans="2:9" x14ac:dyDescent="0.25">
      <c r="B175" t="s">
        <v>659</v>
      </c>
      <c r="C175" s="9" t="s">
        <v>660</v>
      </c>
      <c r="D175" s="9" t="s">
        <v>117</v>
      </c>
      <c r="E175" s="9" t="s">
        <v>43</v>
      </c>
      <c r="F175" t="s">
        <v>1656</v>
      </c>
      <c r="G175">
        <v>24</v>
      </c>
      <c r="H175" s="11">
        <v>1916000</v>
      </c>
      <c r="I175" s="10">
        <v>4.5008971925933503</v>
      </c>
    </row>
    <row r="176" spans="2:9" x14ac:dyDescent="0.25">
      <c r="B176" t="s">
        <v>413</v>
      </c>
      <c r="C176" s="9" t="s">
        <v>414</v>
      </c>
      <c r="D176" s="9" t="s">
        <v>242</v>
      </c>
      <c r="E176" s="9" t="s">
        <v>43</v>
      </c>
      <c r="F176" t="s">
        <v>1666</v>
      </c>
      <c r="G176">
        <v>22</v>
      </c>
      <c r="H176" s="11">
        <v>1579000</v>
      </c>
      <c r="I176" s="10">
        <v>4.4982274737100401</v>
      </c>
    </row>
    <row r="177" spans="2:9" x14ac:dyDescent="0.25">
      <c r="B177" t="s">
        <v>118</v>
      </c>
      <c r="C177" s="9" t="s">
        <v>119</v>
      </c>
      <c r="D177" s="9" t="s">
        <v>128</v>
      </c>
      <c r="E177" s="9" t="s">
        <v>17</v>
      </c>
      <c r="F177" t="s">
        <v>1668</v>
      </c>
      <c r="G177">
        <v>33</v>
      </c>
      <c r="H177" s="11">
        <v>1669000</v>
      </c>
      <c r="I177" s="10">
        <v>4.4870686408251901</v>
      </c>
    </row>
    <row r="178" spans="2:9" x14ac:dyDescent="0.25">
      <c r="B178" t="s">
        <v>425</v>
      </c>
      <c r="C178" s="9" t="s">
        <v>426</v>
      </c>
      <c r="D178" s="9" t="s">
        <v>46</v>
      </c>
      <c r="E178" s="9" t="s">
        <v>43</v>
      </c>
      <c r="F178" t="s">
        <v>1661</v>
      </c>
      <c r="G178">
        <v>23</v>
      </c>
      <c r="H178" s="11">
        <v>1706000</v>
      </c>
      <c r="I178" s="10">
        <v>4.4716671435043898</v>
      </c>
    </row>
    <row r="179" spans="2:9" x14ac:dyDescent="0.25">
      <c r="B179" t="s">
        <v>171</v>
      </c>
      <c r="C179" s="9" t="s">
        <v>172</v>
      </c>
      <c r="D179" s="9" t="s">
        <v>16</v>
      </c>
      <c r="E179" s="9" t="s">
        <v>21</v>
      </c>
      <c r="F179" t="s">
        <v>1664</v>
      </c>
      <c r="G179">
        <v>33</v>
      </c>
      <c r="H179" s="11">
        <v>3959000</v>
      </c>
      <c r="I179" s="10">
        <v>4.4631405721616799</v>
      </c>
    </row>
    <row r="180" spans="2:9" x14ac:dyDescent="0.25">
      <c r="B180" t="s">
        <v>166</v>
      </c>
      <c r="C180" s="9" t="s">
        <v>1586</v>
      </c>
      <c r="D180" s="9" t="s">
        <v>36</v>
      </c>
      <c r="E180" s="9" t="s">
        <v>10</v>
      </c>
      <c r="F180" t="s">
        <v>1664</v>
      </c>
      <c r="G180">
        <v>34</v>
      </c>
      <c r="H180" s="11">
        <v>3583000</v>
      </c>
      <c r="I180" s="10">
        <v>4.4471639259872102</v>
      </c>
    </row>
    <row r="181" spans="2:9" x14ac:dyDescent="0.25">
      <c r="B181" t="s">
        <v>315</v>
      </c>
      <c r="C181" s="9" t="s">
        <v>316</v>
      </c>
      <c r="D181" s="9" t="s">
        <v>40</v>
      </c>
      <c r="E181" s="9" t="s">
        <v>84</v>
      </c>
      <c r="F181" t="s">
        <v>1666</v>
      </c>
      <c r="G181">
        <v>35</v>
      </c>
      <c r="H181" s="11">
        <v>4412249</v>
      </c>
      <c r="I181" s="10">
        <v>4.4430257969461504</v>
      </c>
    </row>
    <row r="182" spans="2:9" x14ac:dyDescent="0.25">
      <c r="B182" t="s">
        <v>581</v>
      </c>
      <c r="C182" s="9" t="s">
        <v>582</v>
      </c>
      <c r="D182" s="9" t="s">
        <v>104</v>
      </c>
      <c r="E182" s="9" t="s">
        <v>17</v>
      </c>
      <c r="F182" t="s">
        <v>1658</v>
      </c>
      <c r="G182">
        <v>33</v>
      </c>
      <c r="H182" s="11">
        <v>2024000</v>
      </c>
      <c r="I182" s="10">
        <v>4.44257792468159</v>
      </c>
    </row>
    <row r="183" spans="2:9" x14ac:dyDescent="0.25">
      <c r="B183" t="s">
        <v>295</v>
      </c>
      <c r="C183" s="9" t="s">
        <v>296</v>
      </c>
      <c r="D183" s="9" t="s">
        <v>36</v>
      </c>
      <c r="E183" s="9" t="s">
        <v>84</v>
      </c>
      <c r="F183" t="s">
        <v>1665</v>
      </c>
      <c r="G183">
        <v>31</v>
      </c>
      <c r="H183" s="11">
        <v>2080000</v>
      </c>
      <c r="I183" s="10">
        <v>4.4388647561744099</v>
      </c>
    </row>
    <row r="184" spans="2:9" x14ac:dyDescent="0.25">
      <c r="B184" t="s">
        <v>375</v>
      </c>
      <c r="C184" s="9" t="s">
        <v>376</v>
      </c>
      <c r="D184" s="9" t="s">
        <v>81</v>
      </c>
      <c r="E184" s="9" t="s">
        <v>10</v>
      </c>
      <c r="F184" t="s">
        <v>1661</v>
      </c>
      <c r="G184">
        <v>24</v>
      </c>
      <c r="H184" s="11">
        <v>1948000</v>
      </c>
      <c r="I184" s="10">
        <v>4.4171585046587003</v>
      </c>
    </row>
    <row r="185" spans="2:9" x14ac:dyDescent="0.25">
      <c r="B185" t="s">
        <v>481</v>
      </c>
      <c r="C185" s="9" t="s">
        <v>482</v>
      </c>
      <c r="D185" s="9" t="s">
        <v>96</v>
      </c>
      <c r="E185" s="9" t="s">
        <v>84</v>
      </c>
      <c r="F185" t="s">
        <v>1664</v>
      </c>
      <c r="G185">
        <v>28</v>
      </c>
      <c r="H185" s="11">
        <v>2062000</v>
      </c>
      <c r="I185" s="10">
        <v>4.4130709164173902</v>
      </c>
    </row>
    <row r="186" spans="2:9" x14ac:dyDescent="0.25">
      <c r="B186" t="s">
        <v>164</v>
      </c>
      <c r="C186" s="9" t="s">
        <v>165</v>
      </c>
      <c r="D186" s="9" t="s">
        <v>81</v>
      </c>
      <c r="E186" s="9" t="s">
        <v>43</v>
      </c>
      <c r="F186" t="s">
        <v>1665</v>
      </c>
      <c r="G186">
        <v>37</v>
      </c>
      <c r="H186" s="11">
        <v>4091419</v>
      </c>
      <c r="I186" s="10">
        <v>4.3994207073850102</v>
      </c>
    </row>
    <row r="187" spans="2:9" x14ac:dyDescent="0.25">
      <c r="B187" t="s">
        <v>301</v>
      </c>
      <c r="C187" s="9" t="s">
        <v>302</v>
      </c>
      <c r="D187" s="9" t="s">
        <v>117</v>
      </c>
      <c r="E187" s="9" t="s">
        <v>84</v>
      </c>
      <c r="F187" t="s">
        <v>1654</v>
      </c>
      <c r="G187">
        <v>28</v>
      </c>
      <c r="H187" s="11">
        <v>3366000</v>
      </c>
      <c r="I187" s="10">
        <v>4.3970483018140296</v>
      </c>
    </row>
    <row r="188" spans="2:9" x14ac:dyDescent="0.25">
      <c r="B188" t="s">
        <v>1527</v>
      </c>
      <c r="C188" s="9" t="s">
        <v>1585</v>
      </c>
      <c r="D188" s="9" t="s">
        <v>236</v>
      </c>
      <c r="E188" s="9" t="s">
        <v>43</v>
      </c>
      <c r="F188" t="s">
        <v>1661</v>
      </c>
      <c r="G188">
        <v>21</v>
      </c>
      <c r="H188" s="11">
        <v>4242000</v>
      </c>
      <c r="I188" s="10">
        <v>4.3832330140208997</v>
      </c>
    </row>
    <row r="189" spans="2:9" x14ac:dyDescent="0.25">
      <c r="B189" t="s">
        <v>467</v>
      </c>
      <c r="C189" s="9" t="s">
        <v>468</v>
      </c>
      <c r="D189" s="9" t="s">
        <v>150</v>
      </c>
      <c r="E189" s="9" t="s">
        <v>84</v>
      </c>
      <c r="F189" t="s">
        <v>1656</v>
      </c>
      <c r="G189">
        <v>29</v>
      </c>
      <c r="H189" s="11">
        <v>2562000</v>
      </c>
      <c r="I189" s="10">
        <v>4.3634574736501603</v>
      </c>
    </row>
    <row r="190" spans="2:9" x14ac:dyDescent="0.25">
      <c r="B190" t="s">
        <v>240</v>
      </c>
      <c r="C190" s="9" t="s">
        <v>241</v>
      </c>
      <c r="D190" s="9" t="s">
        <v>242</v>
      </c>
      <c r="E190" s="9" t="s">
        <v>37</v>
      </c>
      <c r="F190" t="s">
        <v>1655</v>
      </c>
      <c r="G190">
        <v>32</v>
      </c>
      <c r="H190" s="11">
        <v>2591000</v>
      </c>
      <c r="I190" s="10">
        <v>4.3478995352518099</v>
      </c>
    </row>
    <row r="191" spans="2:9" x14ac:dyDescent="0.25">
      <c r="B191" t="s">
        <v>401</v>
      </c>
      <c r="C191" s="9" t="s">
        <v>402</v>
      </c>
      <c r="D191" s="9" t="s">
        <v>153</v>
      </c>
      <c r="E191" s="9" t="s">
        <v>84</v>
      </c>
      <c r="F191" t="s">
        <v>1655</v>
      </c>
      <c r="G191">
        <v>33</v>
      </c>
      <c r="H191" s="11">
        <v>1962000</v>
      </c>
      <c r="I191" s="10">
        <v>4.3238433085644203</v>
      </c>
    </row>
    <row r="192" spans="2:9" x14ac:dyDescent="0.25">
      <c r="B192" t="s">
        <v>273</v>
      </c>
      <c r="C192" s="9" t="s">
        <v>1591</v>
      </c>
      <c r="D192" s="9" t="s">
        <v>236</v>
      </c>
      <c r="E192" s="9" t="s">
        <v>84</v>
      </c>
      <c r="F192" t="s">
        <v>1664</v>
      </c>
      <c r="G192">
        <v>31</v>
      </c>
      <c r="H192" s="11">
        <v>2514000</v>
      </c>
      <c r="I192" s="10">
        <v>4.3069574788794904</v>
      </c>
    </row>
    <row r="193" spans="2:9" x14ac:dyDescent="0.25">
      <c r="B193" t="s">
        <v>1539</v>
      </c>
      <c r="C193" s="9" t="s">
        <v>1602</v>
      </c>
      <c r="D193" s="9" t="s">
        <v>36</v>
      </c>
      <c r="E193" s="9" t="s">
        <v>21</v>
      </c>
      <c r="F193" t="s">
        <v>1668</v>
      </c>
      <c r="G193">
        <v>23</v>
      </c>
      <c r="H193" s="11">
        <v>1569000</v>
      </c>
      <c r="I193" s="10">
        <v>4.2991548234364201</v>
      </c>
    </row>
    <row r="194" spans="2:9" x14ac:dyDescent="0.25">
      <c r="B194" t="s">
        <v>1526</v>
      </c>
      <c r="C194" s="9" t="s">
        <v>1584</v>
      </c>
      <c r="D194" s="9" t="s">
        <v>33</v>
      </c>
      <c r="E194" s="9" t="s">
        <v>17</v>
      </c>
      <c r="F194" t="s">
        <v>1658</v>
      </c>
      <c r="G194">
        <v>23</v>
      </c>
      <c r="H194" s="11">
        <v>1347000</v>
      </c>
      <c r="I194" s="10">
        <v>4.2586322408406998</v>
      </c>
    </row>
    <row r="195" spans="2:9" x14ac:dyDescent="0.25">
      <c r="B195" t="s">
        <v>385</v>
      </c>
      <c r="C195" s="9" t="s">
        <v>386</v>
      </c>
      <c r="D195" s="9" t="s">
        <v>114</v>
      </c>
      <c r="E195" s="9" t="s">
        <v>84</v>
      </c>
      <c r="F195" t="s">
        <v>1665</v>
      </c>
      <c r="G195">
        <v>31</v>
      </c>
      <c r="H195" s="11">
        <v>1878000</v>
      </c>
      <c r="I195" s="10">
        <v>4.2553191647774202</v>
      </c>
    </row>
    <row r="196" spans="2:9" x14ac:dyDescent="0.25">
      <c r="B196" t="s">
        <v>651</v>
      </c>
      <c r="C196" s="9" t="s">
        <v>652</v>
      </c>
      <c r="D196" s="9" t="s">
        <v>40</v>
      </c>
      <c r="E196" s="9" t="s">
        <v>37</v>
      </c>
      <c r="F196" t="s">
        <v>1656</v>
      </c>
      <c r="G196">
        <v>24</v>
      </c>
      <c r="H196" s="11">
        <v>1529000</v>
      </c>
      <c r="I196" s="10">
        <v>4.2252209825788203</v>
      </c>
    </row>
    <row r="197" spans="2:9" x14ac:dyDescent="0.25">
      <c r="B197" t="s">
        <v>1530</v>
      </c>
      <c r="C197" s="9" t="s">
        <v>1589</v>
      </c>
      <c r="D197" s="9" t="s">
        <v>150</v>
      </c>
      <c r="E197" s="9" t="s">
        <v>17</v>
      </c>
      <c r="F197" t="s">
        <v>1662</v>
      </c>
      <c r="G197">
        <v>23</v>
      </c>
      <c r="H197" s="11">
        <v>2117000</v>
      </c>
      <c r="I197" s="10">
        <v>4.2228812660040198</v>
      </c>
    </row>
    <row r="198" spans="2:9" x14ac:dyDescent="0.25">
      <c r="B198" t="s">
        <v>335</v>
      </c>
      <c r="C198" s="9" t="s">
        <v>336</v>
      </c>
      <c r="D198" s="9" t="s">
        <v>104</v>
      </c>
      <c r="E198" s="9" t="s">
        <v>10</v>
      </c>
      <c r="F198" t="s">
        <v>1667</v>
      </c>
      <c r="G198">
        <v>22</v>
      </c>
      <c r="H198" s="11">
        <v>2293000</v>
      </c>
      <c r="I198" s="10">
        <v>4.2084613753647497</v>
      </c>
    </row>
    <row r="199" spans="2:9" x14ac:dyDescent="0.25">
      <c r="B199" t="s">
        <v>475</v>
      </c>
      <c r="C199" s="9" t="s">
        <v>476</v>
      </c>
      <c r="D199" s="9" t="s">
        <v>13</v>
      </c>
      <c r="E199" s="9" t="s">
        <v>84</v>
      </c>
      <c r="F199" t="s">
        <v>1668</v>
      </c>
      <c r="G199">
        <v>34</v>
      </c>
      <c r="H199" s="11">
        <v>1691000</v>
      </c>
      <c r="I199" s="10">
        <v>4.1985453617076898</v>
      </c>
    </row>
    <row r="200" spans="2:9" x14ac:dyDescent="0.25">
      <c r="B200" t="s">
        <v>393</v>
      </c>
      <c r="C200" s="9" t="s">
        <v>394</v>
      </c>
      <c r="D200" s="9" t="s">
        <v>153</v>
      </c>
      <c r="E200" s="9" t="s">
        <v>10</v>
      </c>
      <c r="F200" t="s">
        <v>1664</v>
      </c>
      <c r="G200">
        <v>34</v>
      </c>
      <c r="H200" s="11">
        <v>2179000</v>
      </c>
      <c r="I200" s="10">
        <v>4.1767904627159096</v>
      </c>
    </row>
    <row r="201" spans="2:9" x14ac:dyDescent="0.25">
      <c r="B201" t="s">
        <v>561</v>
      </c>
      <c r="C201" s="9" t="s">
        <v>562</v>
      </c>
      <c r="D201" s="9" t="s">
        <v>181</v>
      </c>
      <c r="E201" s="9" t="s">
        <v>17</v>
      </c>
      <c r="F201" t="s">
        <v>1668</v>
      </c>
      <c r="G201">
        <v>37</v>
      </c>
      <c r="H201" s="11">
        <v>1904000</v>
      </c>
      <c r="I201" s="10">
        <v>4.1440976878787996</v>
      </c>
    </row>
    <row r="202" spans="2:9" x14ac:dyDescent="0.25">
      <c r="B202" t="s">
        <v>511</v>
      </c>
      <c r="C202" s="9" t="s">
        <v>512</v>
      </c>
      <c r="D202" s="9" t="s">
        <v>27</v>
      </c>
      <c r="E202" s="9" t="s">
        <v>10</v>
      </c>
      <c r="F202" t="s">
        <v>1665</v>
      </c>
      <c r="G202">
        <v>28</v>
      </c>
      <c r="H202" s="11">
        <v>1897000</v>
      </c>
      <c r="I202" s="10">
        <v>4.1346149725512502</v>
      </c>
    </row>
    <row r="203" spans="2:9" x14ac:dyDescent="0.25">
      <c r="B203" t="s">
        <v>569</v>
      </c>
      <c r="C203" s="9" t="s">
        <v>570</v>
      </c>
      <c r="D203" s="9" t="s">
        <v>53</v>
      </c>
      <c r="E203" s="9" t="s">
        <v>43</v>
      </c>
      <c r="F203" t="s">
        <v>1664</v>
      </c>
      <c r="G203">
        <v>29</v>
      </c>
      <c r="H203" s="11">
        <v>2012000</v>
      </c>
      <c r="I203" s="10">
        <v>4.1210746106828697</v>
      </c>
    </row>
    <row r="204" spans="2:9" x14ac:dyDescent="0.25">
      <c r="B204" t="s">
        <v>397</v>
      </c>
      <c r="C204" s="9" t="s">
        <v>398</v>
      </c>
      <c r="D204" s="9" t="s">
        <v>128</v>
      </c>
      <c r="E204" s="9" t="s">
        <v>17</v>
      </c>
      <c r="F204" t="s">
        <v>1654</v>
      </c>
      <c r="G204">
        <v>22</v>
      </c>
      <c r="H204" s="11">
        <v>2146000</v>
      </c>
      <c r="I204" s="10">
        <v>4.1022438680737698</v>
      </c>
    </row>
    <row r="205" spans="2:9" x14ac:dyDescent="0.25">
      <c r="B205" t="s">
        <v>403</v>
      </c>
      <c r="C205" s="9" t="s">
        <v>404</v>
      </c>
      <c r="D205" s="9" t="s">
        <v>9</v>
      </c>
      <c r="E205" s="9" t="s">
        <v>84</v>
      </c>
      <c r="F205" t="s">
        <v>1654</v>
      </c>
      <c r="G205">
        <v>40</v>
      </c>
      <c r="H205" s="11">
        <v>1853000</v>
      </c>
      <c r="I205" s="10">
        <v>4.1014855189580199</v>
      </c>
    </row>
    <row r="206" spans="2:9" x14ac:dyDescent="0.25">
      <c r="B206" t="s">
        <v>753</v>
      </c>
      <c r="C206" s="9" t="s">
        <v>754</v>
      </c>
      <c r="D206" s="9" t="s">
        <v>75</v>
      </c>
      <c r="E206" s="9" t="s">
        <v>43</v>
      </c>
      <c r="F206" t="s">
        <v>1668</v>
      </c>
      <c r="G206">
        <v>32</v>
      </c>
      <c r="H206" s="11">
        <v>1730000</v>
      </c>
      <c r="I206" s="10">
        <v>4.0989341226535601</v>
      </c>
    </row>
    <row r="207" spans="2:9" x14ac:dyDescent="0.25">
      <c r="B207" t="s">
        <v>355</v>
      </c>
      <c r="C207" s="9" t="s">
        <v>356</v>
      </c>
      <c r="D207" s="9" t="s">
        <v>139</v>
      </c>
      <c r="E207" s="9" t="s">
        <v>10</v>
      </c>
      <c r="F207" t="s">
        <v>1667</v>
      </c>
      <c r="G207">
        <v>26</v>
      </c>
      <c r="H207" s="11">
        <v>2358000</v>
      </c>
      <c r="I207" s="10">
        <v>4.0901115166684097</v>
      </c>
    </row>
    <row r="208" spans="2:9" x14ac:dyDescent="0.25">
      <c r="B208" t="s">
        <v>443</v>
      </c>
      <c r="C208" s="9" t="s">
        <v>444</v>
      </c>
      <c r="D208" s="9" t="s">
        <v>107</v>
      </c>
      <c r="E208" s="9" t="s">
        <v>43</v>
      </c>
      <c r="F208" t="s">
        <v>1665</v>
      </c>
      <c r="G208">
        <v>32</v>
      </c>
      <c r="H208" s="11">
        <v>2089000</v>
      </c>
      <c r="I208" s="10">
        <v>4.0758365664786398</v>
      </c>
    </row>
    <row r="209" spans="2:9" x14ac:dyDescent="0.25">
      <c r="B209" t="s">
        <v>441</v>
      </c>
      <c r="C209" s="9" t="s">
        <v>442</v>
      </c>
      <c r="D209" s="9" t="s">
        <v>107</v>
      </c>
      <c r="E209" s="9" t="s">
        <v>10</v>
      </c>
      <c r="F209" t="s">
        <v>1668</v>
      </c>
      <c r="G209">
        <v>23</v>
      </c>
      <c r="H209" s="11">
        <v>2573000</v>
      </c>
      <c r="I209" s="10">
        <v>4.0449692410367097</v>
      </c>
    </row>
    <row r="210" spans="2:9" x14ac:dyDescent="0.25">
      <c r="B210" t="s">
        <v>451</v>
      </c>
      <c r="C210" s="9" t="s">
        <v>452</v>
      </c>
      <c r="D210" s="9" t="s">
        <v>131</v>
      </c>
      <c r="E210" s="9" t="s">
        <v>21</v>
      </c>
      <c r="F210" t="s">
        <v>1657</v>
      </c>
      <c r="G210">
        <v>29</v>
      </c>
      <c r="H210" s="11">
        <v>2093000</v>
      </c>
      <c r="I210" s="10">
        <v>4.0334668729625998</v>
      </c>
    </row>
    <row r="211" spans="2:9" x14ac:dyDescent="0.25">
      <c r="B211" t="s">
        <v>477</v>
      </c>
      <c r="C211" s="9" t="s">
        <v>478</v>
      </c>
      <c r="D211" s="9" t="s">
        <v>20</v>
      </c>
      <c r="E211" s="9" t="s">
        <v>37</v>
      </c>
      <c r="F211" t="s">
        <v>1658</v>
      </c>
      <c r="G211">
        <v>27</v>
      </c>
      <c r="H211" s="11">
        <v>1981000</v>
      </c>
      <c r="I211" s="10">
        <v>4.0276133457508703</v>
      </c>
    </row>
    <row r="212" spans="2:9" x14ac:dyDescent="0.25">
      <c r="B212" t="s">
        <v>307</v>
      </c>
      <c r="C212" s="9" t="s">
        <v>308</v>
      </c>
      <c r="D212" s="9" t="s">
        <v>75</v>
      </c>
      <c r="E212" s="9" t="s">
        <v>30</v>
      </c>
      <c r="F212" t="s">
        <v>1660</v>
      </c>
      <c r="G212">
        <v>23</v>
      </c>
      <c r="H212" s="11">
        <v>2176000</v>
      </c>
      <c r="I212" s="10">
        <v>4.0172753314460703</v>
      </c>
    </row>
    <row r="213" spans="2:9" x14ac:dyDescent="0.25">
      <c r="B213" t="s">
        <v>485</v>
      </c>
      <c r="C213" s="9" t="s">
        <v>486</v>
      </c>
      <c r="D213" s="9" t="s">
        <v>153</v>
      </c>
      <c r="E213" s="9" t="s">
        <v>84</v>
      </c>
      <c r="F213" t="s">
        <v>1665</v>
      </c>
      <c r="G213">
        <v>32</v>
      </c>
      <c r="H213" s="11">
        <v>1867000</v>
      </c>
      <c r="I213" s="10">
        <v>3.9952604207914599</v>
      </c>
    </row>
    <row r="214" spans="2:9" x14ac:dyDescent="0.25">
      <c r="B214" t="s">
        <v>407</v>
      </c>
      <c r="C214" s="9" t="s">
        <v>408</v>
      </c>
      <c r="D214" s="9" t="s">
        <v>13</v>
      </c>
      <c r="E214" s="9" t="s">
        <v>17</v>
      </c>
      <c r="F214" t="s">
        <v>1659</v>
      </c>
      <c r="G214">
        <v>24</v>
      </c>
      <c r="H214" s="11">
        <v>951000</v>
      </c>
      <c r="I214" s="10">
        <v>3.9683091586877799</v>
      </c>
    </row>
    <row r="215" spans="2:9" x14ac:dyDescent="0.25">
      <c r="B215" t="s">
        <v>293</v>
      </c>
      <c r="C215" s="9" t="s">
        <v>294</v>
      </c>
      <c r="D215" s="9" t="s">
        <v>153</v>
      </c>
      <c r="E215" s="9" t="s">
        <v>43</v>
      </c>
      <c r="F215" t="s">
        <v>1665</v>
      </c>
      <c r="G215">
        <v>23</v>
      </c>
      <c r="H215" s="11">
        <v>2217000</v>
      </c>
      <c r="I215" s="10">
        <v>3.9351911263883901</v>
      </c>
    </row>
    <row r="216" spans="2:9" x14ac:dyDescent="0.25">
      <c r="B216" t="s">
        <v>959</v>
      </c>
      <c r="C216" s="9" t="s">
        <v>960</v>
      </c>
      <c r="D216" s="9" t="s">
        <v>24</v>
      </c>
      <c r="E216" s="9" t="s">
        <v>17</v>
      </c>
      <c r="F216" t="s">
        <v>1668</v>
      </c>
      <c r="G216">
        <v>24</v>
      </c>
      <c r="H216" s="11">
        <v>1664000</v>
      </c>
      <c r="I216" s="10">
        <v>3.91736825887113</v>
      </c>
    </row>
    <row r="217" spans="2:9" x14ac:dyDescent="0.25">
      <c r="B217" t="s">
        <v>419</v>
      </c>
      <c r="C217" s="9" t="s">
        <v>420</v>
      </c>
      <c r="D217" s="9" t="s">
        <v>107</v>
      </c>
      <c r="E217" s="9" t="s">
        <v>84</v>
      </c>
      <c r="F217" t="s">
        <v>1660</v>
      </c>
      <c r="G217">
        <v>29</v>
      </c>
      <c r="H217" s="11">
        <v>1964000</v>
      </c>
      <c r="I217" s="10">
        <v>3.90891403165078</v>
      </c>
    </row>
    <row r="218" spans="2:9" x14ac:dyDescent="0.25">
      <c r="B218" t="s">
        <v>595</v>
      </c>
      <c r="C218" s="9" t="s">
        <v>596</v>
      </c>
      <c r="D218" s="9" t="s">
        <v>87</v>
      </c>
      <c r="E218" s="9" t="s">
        <v>10</v>
      </c>
      <c r="F218" t="s">
        <v>1668</v>
      </c>
      <c r="G218">
        <v>30</v>
      </c>
      <c r="H218" s="11">
        <v>1579000</v>
      </c>
      <c r="I218" s="10">
        <v>3.8980404275518601</v>
      </c>
    </row>
    <row r="219" spans="2:9" x14ac:dyDescent="0.25">
      <c r="B219" t="s">
        <v>563</v>
      </c>
      <c r="C219" s="9" t="s">
        <v>564</v>
      </c>
      <c r="D219" s="9" t="s">
        <v>117</v>
      </c>
      <c r="E219" s="9" t="s">
        <v>43</v>
      </c>
      <c r="F219" t="s">
        <v>1660</v>
      </c>
      <c r="G219">
        <v>34</v>
      </c>
      <c r="H219" s="11">
        <v>1894000</v>
      </c>
      <c r="I219" s="10">
        <v>3.8918783092606102</v>
      </c>
    </row>
    <row r="220" spans="2:9" x14ac:dyDescent="0.25">
      <c r="B220" t="s">
        <v>557</v>
      </c>
      <c r="C220" s="9" t="s">
        <v>558</v>
      </c>
      <c r="D220" s="9" t="s">
        <v>239</v>
      </c>
      <c r="E220" s="9" t="s">
        <v>10</v>
      </c>
      <c r="F220" t="s">
        <v>1659</v>
      </c>
      <c r="G220">
        <v>25</v>
      </c>
      <c r="H220" s="11">
        <v>1665000</v>
      </c>
      <c r="I220" s="10">
        <v>3.8791190417175798</v>
      </c>
    </row>
    <row r="221" spans="2:9" x14ac:dyDescent="0.25">
      <c r="B221" t="s">
        <v>453</v>
      </c>
      <c r="C221" s="9" t="s">
        <v>454</v>
      </c>
      <c r="D221" s="9" t="s">
        <v>170</v>
      </c>
      <c r="E221" s="9" t="s">
        <v>17</v>
      </c>
      <c r="F221" t="s">
        <v>1657</v>
      </c>
      <c r="G221">
        <v>33</v>
      </c>
      <c r="H221" s="11">
        <v>1904000</v>
      </c>
      <c r="I221" s="10">
        <v>3.8640576011021102</v>
      </c>
    </row>
    <row r="222" spans="2:9" x14ac:dyDescent="0.25">
      <c r="B222" t="s">
        <v>423</v>
      </c>
      <c r="C222" s="9" t="s">
        <v>424</v>
      </c>
      <c r="D222" s="9" t="s">
        <v>104</v>
      </c>
      <c r="E222" s="9" t="s">
        <v>10</v>
      </c>
      <c r="F222" t="s">
        <v>1668</v>
      </c>
      <c r="G222">
        <v>31</v>
      </c>
      <c r="H222" s="11">
        <v>1932000</v>
      </c>
      <c r="I222" s="10">
        <v>3.8599882256318399</v>
      </c>
    </row>
    <row r="223" spans="2:9" x14ac:dyDescent="0.25">
      <c r="B223" t="s">
        <v>545</v>
      </c>
      <c r="C223" s="9" t="s">
        <v>546</v>
      </c>
      <c r="D223" s="9" t="s">
        <v>27</v>
      </c>
      <c r="E223" s="9" t="s">
        <v>10</v>
      </c>
      <c r="F223" t="s">
        <v>1668</v>
      </c>
      <c r="G223">
        <v>33</v>
      </c>
      <c r="H223" s="11">
        <v>1433000</v>
      </c>
      <c r="I223" s="10">
        <v>3.8202459591809799</v>
      </c>
    </row>
    <row r="224" spans="2:9" x14ac:dyDescent="0.25">
      <c r="B224" t="s">
        <v>505</v>
      </c>
      <c r="C224" s="9" t="s">
        <v>506</v>
      </c>
      <c r="D224" s="9" t="s">
        <v>24</v>
      </c>
      <c r="E224" s="9" t="s">
        <v>84</v>
      </c>
      <c r="F224" t="s">
        <v>1666</v>
      </c>
      <c r="G224">
        <v>29</v>
      </c>
      <c r="H224" s="11">
        <v>1522000</v>
      </c>
      <c r="I224" s="10">
        <v>3.8192816831770302</v>
      </c>
    </row>
    <row r="225" spans="2:9" x14ac:dyDescent="0.25">
      <c r="B225" t="s">
        <v>535</v>
      </c>
      <c r="C225" s="9" t="s">
        <v>536</v>
      </c>
      <c r="D225" s="9" t="s">
        <v>46</v>
      </c>
      <c r="E225" s="9" t="s">
        <v>10</v>
      </c>
      <c r="F225" t="s">
        <v>1668</v>
      </c>
      <c r="G225">
        <v>32</v>
      </c>
      <c r="H225" s="11">
        <v>2067000</v>
      </c>
      <c r="I225" s="10">
        <v>3.8135406675194798</v>
      </c>
    </row>
    <row r="226" spans="2:9" x14ac:dyDescent="0.25">
      <c r="B226" t="s">
        <v>361</v>
      </c>
      <c r="C226" s="9" t="s">
        <v>362</v>
      </c>
      <c r="D226" s="9" t="s">
        <v>16</v>
      </c>
      <c r="E226" s="9" t="s">
        <v>30</v>
      </c>
      <c r="F226" t="s">
        <v>1660</v>
      </c>
      <c r="G226">
        <v>30</v>
      </c>
      <c r="H226" s="11">
        <v>1692000</v>
      </c>
      <c r="I226" s="10">
        <v>3.8081960155392398</v>
      </c>
    </row>
    <row r="227" spans="2:9" x14ac:dyDescent="0.25">
      <c r="B227" t="s">
        <v>1528</v>
      </c>
      <c r="C227" s="9" t="s">
        <v>1587</v>
      </c>
      <c r="D227" s="9" t="s">
        <v>96</v>
      </c>
      <c r="E227" s="9" t="s">
        <v>21</v>
      </c>
      <c r="F227" t="s">
        <v>1665</v>
      </c>
      <c r="G227">
        <v>22</v>
      </c>
      <c r="H227" s="11">
        <v>1742000</v>
      </c>
      <c r="I227" s="10">
        <v>3.79384923789712</v>
      </c>
    </row>
    <row r="228" spans="2:9" x14ac:dyDescent="0.25">
      <c r="B228" t="s">
        <v>619</v>
      </c>
      <c r="C228" s="9" t="s">
        <v>620</v>
      </c>
      <c r="D228" s="9" t="s">
        <v>104</v>
      </c>
      <c r="E228" s="9" t="s">
        <v>21</v>
      </c>
      <c r="F228" t="s">
        <v>1668</v>
      </c>
      <c r="G228">
        <v>35</v>
      </c>
      <c r="H228" s="11">
        <v>1999000</v>
      </c>
      <c r="I228" s="10">
        <v>3.7852584510065199</v>
      </c>
    </row>
    <row r="229" spans="2:9" x14ac:dyDescent="0.25">
      <c r="B229" t="s">
        <v>457</v>
      </c>
      <c r="C229" s="9" t="s">
        <v>458</v>
      </c>
      <c r="D229" s="9" t="s">
        <v>36</v>
      </c>
      <c r="E229" s="9" t="s">
        <v>37</v>
      </c>
      <c r="F229" t="s">
        <v>1668</v>
      </c>
      <c r="G229">
        <v>34</v>
      </c>
      <c r="H229" s="11">
        <v>1387000</v>
      </c>
      <c r="I229" s="10">
        <v>3.7717277324026401</v>
      </c>
    </row>
    <row r="230" spans="2:9" x14ac:dyDescent="0.25">
      <c r="B230" t="s">
        <v>523</v>
      </c>
      <c r="C230" s="9" t="s">
        <v>524</v>
      </c>
      <c r="D230" s="9" t="s">
        <v>139</v>
      </c>
      <c r="E230" s="9" t="s">
        <v>84</v>
      </c>
      <c r="F230" t="s">
        <v>1660</v>
      </c>
      <c r="G230">
        <v>24</v>
      </c>
      <c r="H230" s="11">
        <v>1746000</v>
      </c>
      <c r="I230" s="10">
        <v>3.7679696466715198</v>
      </c>
    </row>
    <row r="231" spans="2:9" x14ac:dyDescent="0.25">
      <c r="B231" t="s">
        <v>487</v>
      </c>
      <c r="C231" s="9" t="s">
        <v>488</v>
      </c>
      <c r="D231" s="9" t="s">
        <v>53</v>
      </c>
      <c r="E231" s="9" t="s">
        <v>10</v>
      </c>
      <c r="F231" t="s">
        <v>1668</v>
      </c>
      <c r="G231">
        <v>32</v>
      </c>
      <c r="H231" s="11">
        <v>1909000</v>
      </c>
      <c r="I231" s="10">
        <v>3.7484729529847498</v>
      </c>
    </row>
    <row r="232" spans="2:9" x14ac:dyDescent="0.25">
      <c r="B232" t="s">
        <v>949</v>
      </c>
      <c r="C232" s="9" t="s">
        <v>950</v>
      </c>
      <c r="D232" s="9" t="s">
        <v>40</v>
      </c>
      <c r="E232" s="9" t="s">
        <v>43</v>
      </c>
      <c r="F232" t="s">
        <v>1655</v>
      </c>
      <c r="G232">
        <v>24</v>
      </c>
      <c r="H232" s="11">
        <v>1374000</v>
      </c>
      <c r="I232" s="10">
        <v>3.7466158435269801</v>
      </c>
    </row>
    <row r="233" spans="2:9" x14ac:dyDescent="0.25">
      <c r="B233" t="s">
        <v>439</v>
      </c>
      <c r="C233" s="9" t="s">
        <v>1592</v>
      </c>
      <c r="D233" s="9" t="s">
        <v>27</v>
      </c>
      <c r="E233" s="9" t="s">
        <v>30</v>
      </c>
      <c r="F233" t="s">
        <v>1668</v>
      </c>
      <c r="G233">
        <v>30</v>
      </c>
      <c r="H233" s="11">
        <v>2099000</v>
      </c>
      <c r="I233" s="10">
        <v>3.74203510688772</v>
      </c>
    </row>
    <row r="234" spans="2:9" x14ac:dyDescent="0.25">
      <c r="B234" t="s">
        <v>529</v>
      </c>
      <c r="C234" s="9" t="s">
        <v>530</v>
      </c>
      <c r="D234" s="9" t="s">
        <v>242</v>
      </c>
      <c r="E234" s="9" t="s">
        <v>10</v>
      </c>
      <c r="F234" t="s">
        <v>1668</v>
      </c>
      <c r="G234">
        <v>22</v>
      </c>
      <c r="H234" s="11">
        <v>2153000</v>
      </c>
      <c r="I234" s="10">
        <v>3.7414179216936501</v>
      </c>
    </row>
    <row r="235" spans="2:9" x14ac:dyDescent="0.25">
      <c r="B235" t="s">
        <v>721</v>
      </c>
      <c r="C235" s="9" t="s">
        <v>1603</v>
      </c>
      <c r="D235" s="9" t="s">
        <v>131</v>
      </c>
      <c r="E235" s="9" t="s">
        <v>43</v>
      </c>
      <c r="F235" t="s">
        <v>1668</v>
      </c>
      <c r="G235">
        <v>27</v>
      </c>
      <c r="H235" s="11">
        <v>1544000</v>
      </c>
      <c r="I235" s="10">
        <v>3.7328570376170598</v>
      </c>
    </row>
    <row r="236" spans="2:9" x14ac:dyDescent="0.25">
      <c r="B236" t="s">
        <v>547</v>
      </c>
      <c r="C236" s="9" t="s">
        <v>548</v>
      </c>
      <c r="D236" s="9" t="s">
        <v>239</v>
      </c>
      <c r="E236" s="9" t="s">
        <v>132</v>
      </c>
      <c r="F236" t="s">
        <v>1668</v>
      </c>
      <c r="G236">
        <v>31</v>
      </c>
      <c r="H236" s="11">
        <v>1555000</v>
      </c>
      <c r="I236" s="10">
        <v>3.7298277923614598</v>
      </c>
    </row>
    <row r="237" spans="2:9" x14ac:dyDescent="0.25">
      <c r="B237" t="s">
        <v>745</v>
      </c>
      <c r="C237" s="9" t="s">
        <v>746</v>
      </c>
      <c r="D237" s="9" t="s">
        <v>131</v>
      </c>
      <c r="E237" s="9" t="s">
        <v>43</v>
      </c>
      <c r="F237" t="s">
        <v>1654</v>
      </c>
      <c r="G237">
        <v>30</v>
      </c>
      <c r="H237" s="11">
        <v>1080000</v>
      </c>
      <c r="I237" s="10">
        <v>3.7254584318733501</v>
      </c>
    </row>
    <row r="238" spans="2:9" x14ac:dyDescent="0.25">
      <c r="B238" t="s">
        <v>447</v>
      </c>
      <c r="C238" s="9" t="s">
        <v>448</v>
      </c>
      <c r="D238" s="9" t="s">
        <v>96</v>
      </c>
      <c r="E238" s="9" t="s">
        <v>10</v>
      </c>
      <c r="F238" t="s">
        <v>1654</v>
      </c>
      <c r="G238">
        <v>26</v>
      </c>
      <c r="H238" s="11">
        <v>1977000</v>
      </c>
      <c r="I238" s="10">
        <v>3.7242423838027898</v>
      </c>
    </row>
    <row r="239" spans="2:9" x14ac:dyDescent="0.25">
      <c r="B239" t="s">
        <v>391</v>
      </c>
      <c r="C239" s="9" t="s">
        <v>392</v>
      </c>
      <c r="D239" s="9" t="s">
        <v>24</v>
      </c>
      <c r="E239" s="9" t="s">
        <v>37</v>
      </c>
      <c r="F239" t="s">
        <v>1668</v>
      </c>
      <c r="G239">
        <v>35</v>
      </c>
      <c r="H239" s="11">
        <v>1609000</v>
      </c>
      <c r="I239" s="10">
        <v>3.71728264883801</v>
      </c>
    </row>
    <row r="240" spans="2:9" x14ac:dyDescent="0.25">
      <c r="B240" t="s">
        <v>331</v>
      </c>
      <c r="C240" s="9" t="s">
        <v>332</v>
      </c>
      <c r="D240" s="9" t="s">
        <v>128</v>
      </c>
      <c r="E240" s="9" t="s">
        <v>37</v>
      </c>
      <c r="F240" t="s">
        <v>1668</v>
      </c>
      <c r="G240">
        <v>25</v>
      </c>
      <c r="H240" s="11">
        <v>758000</v>
      </c>
      <c r="I240" s="10">
        <v>3.7117948775446399</v>
      </c>
    </row>
    <row r="241" spans="2:9" x14ac:dyDescent="0.25">
      <c r="B241" t="s">
        <v>1534</v>
      </c>
      <c r="C241" s="9" t="s">
        <v>1596</v>
      </c>
      <c r="D241" s="9" t="s">
        <v>81</v>
      </c>
      <c r="E241" s="9" t="s">
        <v>132</v>
      </c>
      <c r="F241" t="s">
        <v>1660</v>
      </c>
      <c r="G241">
        <v>23</v>
      </c>
      <c r="H241" s="11">
        <v>1834000</v>
      </c>
      <c r="I241" s="10">
        <v>3.7024940627585301</v>
      </c>
    </row>
    <row r="242" spans="2:9" x14ac:dyDescent="0.25">
      <c r="B242" t="s">
        <v>469</v>
      </c>
      <c r="C242" s="9" t="s">
        <v>1601</v>
      </c>
      <c r="D242" s="9" t="s">
        <v>170</v>
      </c>
      <c r="E242" s="9" t="s">
        <v>84</v>
      </c>
      <c r="F242" t="s">
        <v>1660</v>
      </c>
      <c r="G242">
        <v>25</v>
      </c>
      <c r="H242" s="11">
        <v>1689000</v>
      </c>
      <c r="I242" s="10">
        <v>3.70127482323704</v>
      </c>
    </row>
    <row r="243" spans="2:9" x14ac:dyDescent="0.25">
      <c r="B243" t="s">
        <v>589</v>
      </c>
      <c r="C243" s="9" t="s">
        <v>590</v>
      </c>
      <c r="D243" s="9" t="s">
        <v>72</v>
      </c>
      <c r="E243" s="9" t="s">
        <v>30</v>
      </c>
      <c r="F243" t="s">
        <v>1659</v>
      </c>
      <c r="G243">
        <v>32</v>
      </c>
      <c r="H243" s="11">
        <v>2111000</v>
      </c>
      <c r="I243" s="10">
        <v>3.69893557770262</v>
      </c>
    </row>
    <row r="244" spans="2:9" x14ac:dyDescent="0.25">
      <c r="B244" t="s">
        <v>367</v>
      </c>
      <c r="C244" s="9" t="s">
        <v>368</v>
      </c>
      <c r="D244" s="9" t="s">
        <v>96</v>
      </c>
      <c r="E244" s="9" t="s">
        <v>17</v>
      </c>
      <c r="F244" t="s">
        <v>1668</v>
      </c>
      <c r="G244">
        <v>25</v>
      </c>
      <c r="H244" s="11">
        <v>1676000</v>
      </c>
      <c r="I244" s="10">
        <v>3.6871251027324599</v>
      </c>
    </row>
    <row r="245" spans="2:9" x14ac:dyDescent="0.25">
      <c r="B245" t="s">
        <v>521</v>
      </c>
      <c r="C245" s="9" t="s">
        <v>522</v>
      </c>
      <c r="D245" s="9" t="s">
        <v>170</v>
      </c>
      <c r="E245" s="9" t="s">
        <v>84</v>
      </c>
      <c r="F245" t="s">
        <v>1668</v>
      </c>
      <c r="G245">
        <v>31</v>
      </c>
      <c r="H245" s="11">
        <v>1661000</v>
      </c>
      <c r="I245" s="10">
        <v>3.6838760461304898</v>
      </c>
    </row>
    <row r="246" spans="2:9" x14ac:dyDescent="0.25">
      <c r="B246" t="s">
        <v>395</v>
      </c>
      <c r="C246" s="9" t="s">
        <v>396</v>
      </c>
      <c r="D246" s="9" t="s">
        <v>153</v>
      </c>
      <c r="E246" s="9" t="s">
        <v>30</v>
      </c>
      <c r="F246" t="s">
        <v>1668</v>
      </c>
      <c r="G246">
        <v>33</v>
      </c>
      <c r="H246" s="11">
        <v>1309000</v>
      </c>
      <c r="I246" s="10">
        <v>3.6751513087526</v>
      </c>
    </row>
    <row r="247" spans="2:9" x14ac:dyDescent="0.25">
      <c r="B247" t="s">
        <v>1531</v>
      </c>
      <c r="C247" s="9" t="s">
        <v>1590</v>
      </c>
      <c r="D247" s="9" t="s">
        <v>13</v>
      </c>
      <c r="E247" s="9" t="s">
        <v>17</v>
      </c>
      <c r="F247" t="s">
        <v>1654</v>
      </c>
      <c r="G247">
        <v>29</v>
      </c>
      <c r="H247" s="11">
        <v>2145000</v>
      </c>
      <c r="I247" s="10">
        <v>3.6696103488946301</v>
      </c>
    </row>
    <row r="248" spans="2:9" x14ac:dyDescent="0.25">
      <c r="B248" t="s">
        <v>699</v>
      </c>
      <c r="C248" s="9" t="s">
        <v>700</v>
      </c>
      <c r="D248" s="9" t="s">
        <v>117</v>
      </c>
      <c r="E248" s="9" t="s">
        <v>17</v>
      </c>
      <c r="F248" t="s">
        <v>1668</v>
      </c>
      <c r="G248">
        <v>32</v>
      </c>
      <c r="H248" s="11">
        <v>1527000</v>
      </c>
      <c r="I248" s="10">
        <v>3.64775685130917</v>
      </c>
    </row>
    <row r="249" spans="2:9" x14ac:dyDescent="0.25">
      <c r="B249" t="s">
        <v>567</v>
      </c>
      <c r="C249" s="9" t="s">
        <v>568</v>
      </c>
      <c r="D249" s="9" t="s">
        <v>114</v>
      </c>
      <c r="E249" s="9" t="s">
        <v>43</v>
      </c>
      <c r="F249" t="s">
        <v>1668</v>
      </c>
      <c r="G249">
        <v>36</v>
      </c>
      <c r="H249" s="11">
        <v>1917000</v>
      </c>
      <c r="I249" s="10">
        <v>3.6382387145320898</v>
      </c>
    </row>
    <row r="250" spans="2:9" x14ac:dyDescent="0.25">
      <c r="B250" t="s">
        <v>339</v>
      </c>
      <c r="C250" s="9" t="s">
        <v>340</v>
      </c>
      <c r="D250" s="9" t="s">
        <v>139</v>
      </c>
      <c r="E250" s="9" t="s">
        <v>21</v>
      </c>
      <c r="F250" t="s">
        <v>1654</v>
      </c>
      <c r="G250">
        <v>24</v>
      </c>
      <c r="H250" s="11">
        <v>1762000</v>
      </c>
      <c r="I250" s="10">
        <v>3.6274635121211798</v>
      </c>
    </row>
    <row r="251" spans="2:9" x14ac:dyDescent="0.25">
      <c r="B251" t="s">
        <v>1358</v>
      </c>
      <c r="C251" s="9" t="s">
        <v>1595</v>
      </c>
      <c r="D251" s="9" t="s">
        <v>75</v>
      </c>
      <c r="E251" s="9" t="s">
        <v>84</v>
      </c>
      <c r="F251" t="s">
        <v>1661</v>
      </c>
      <c r="G251">
        <v>22</v>
      </c>
      <c r="H251" s="11">
        <v>3881000</v>
      </c>
      <c r="I251" s="10">
        <v>3.6243699684997699</v>
      </c>
    </row>
    <row r="252" spans="2:9" x14ac:dyDescent="0.25">
      <c r="B252" t="s">
        <v>459</v>
      </c>
      <c r="C252" s="9" t="s">
        <v>460</v>
      </c>
      <c r="D252" s="9" t="s">
        <v>13</v>
      </c>
      <c r="E252" s="9" t="s">
        <v>10</v>
      </c>
      <c r="F252" t="s">
        <v>1668</v>
      </c>
      <c r="G252">
        <v>28</v>
      </c>
      <c r="H252" s="11">
        <v>1593000</v>
      </c>
      <c r="I252" s="10">
        <v>3.6172261943152302</v>
      </c>
    </row>
    <row r="253" spans="2:9" x14ac:dyDescent="0.25">
      <c r="B253" t="s">
        <v>497</v>
      </c>
      <c r="C253" s="9" t="s">
        <v>498</v>
      </c>
      <c r="D253" s="9" t="s">
        <v>81</v>
      </c>
      <c r="E253" s="9" t="s">
        <v>43</v>
      </c>
      <c r="F253" t="s">
        <v>1668</v>
      </c>
      <c r="G253">
        <v>37</v>
      </c>
      <c r="H253" s="11">
        <v>940000</v>
      </c>
      <c r="I253" s="10">
        <v>3.5944359522274398</v>
      </c>
    </row>
    <row r="254" spans="2:9" x14ac:dyDescent="0.25">
      <c r="B254" t="s">
        <v>517</v>
      </c>
      <c r="C254" s="9" t="s">
        <v>518</v>
      </c>
      <c r="D254" s="9" t="s">
        <v>104</v>
      </c>
      <c r="E254" s="9" t="s">
        <v>84</v>
      </c>
      <c r="F254" t="s">
        <v>1668</v>
      </c>
      <c r="G254">
        <v>32</v>
      </c>
      <c r="H254" s="11">
        <v>1871000</v>
      </c>
      <c r="I254" s="10">
        <v>3.5799652898289298</v>
      </c>
    </row>
    <row r="255" spans="2:9" x14ac:dyDescent="0.25">
      <c r="B255" t="s">
        <v>611</v>
      </c>
      <c r="C255" s="9" t="s">
        <v>612</v>
      </c>
      <c r="D255" s="9" t="s">
        <v>104</v>
      </c>
      <c r="E255" s="9" t="s">
        <v>21</v>
      </c>
      <c r="F255" t="s">
        <v>1657</v>
      </c>
      <c r="G255">
        <v>24</v>
      </c>
      <c r="H255" s="11">
        <v>1948000</v>
      </c>
      <c r="I255" s="10">
        <v>3.5791215814632702</v>
      </c>
    </row>
    <row r="256" spans="2:9" x14ac:dyDescent="0.25">
      <c r="B256" t="s">
        <v>1536</v>
      </c>
      <c r="C256" s="9" t="s">
        <v>1598</v>
      </c>
      <c r="D256" s="9" t="s">
        <v>87</v>
      </c>
      <c r="E256" s="9" t="s">
        <v>84</v>
      </c>
      <c r="F256" t="s">
        <v>1655</v>
      </c>
      <c r="G256">
        <v>22</v>
      </c>
      <c r="H256" s="11">
        <v>1601000</v>
      </c>
      <c r="I256" s="10">
        <v>3.5771871604423899</v>
      </c>
    </row>
    <row r="257" spans="2:9" x14ac:dyDescent="0.25">
      <c r="B257" t="s">
        <v>433</v>
      </c>
      <c r="C257" s="9" t="s">
        <v>434</v>
      </c>
      <c r="D257" s="9" t="s">
        <v>78</v>
      </c>
      <c r="E257" s="9" t="s">
        <v>37</v>
      </c>
      <c r="F257" t="s">
        <v>1668</v>
      </c>
      <c r="G257">
        <v>28</v>
      </c>
      <c r="H257" s="11">
        <v>1454000</v>
      </c>
      <c r="I257" s="10">
        <v>3.57570259456008</v>
      </c>
    </row>
    <row r="258" spans="2:9" x14ac:dyDescent="0.25">
      <c r="B258" t="s">
        <v>711</v>
      </c>
      <c r="C258" s="9" t="s">
        <v>712</v>
      </c>
      <c r="D258" s="9" t="s">
        <v>46</v>
      </c>
      <c r="E258" s="9" t="s">
        <v>10</v>
      </c>
      <c r="F258" t="s">
        <v>1668</v>
      </c>
      <c r="G258">
        <v>32</v>
      </c>
      <c r="H258" s="11">
        <v>1754000</v>
      </c>
      <c r="I258" s="10">
        <v>3.5709071179459602</v>
      </c>
    </row>
    <row r="259" spans="2:9" x14ac:dyDescent="0.25">
      <c r="B259" t="s">
        <v>605</v>
      </c>
      <c r="C259" s="9" t="s">
        <v>606</v>
      </c>
      <c r="D259" s="9" t="s">
        <v>131</v>
      </c>
      <c r="E259" s="9" t="s">
        <v>43</v>
      </c>
      <c r="F259" t="s">
        <v>1668</v>
      </c>
      <c r="G259">
        <v>24</v>
      </c>
      <c r="H259" s="11">
        <v>1258000</v>
      </c>
      <c r="I259" s="10">
        <v>3.5699902754022399</v>
      </c>
    </row>
    <row r="260" spans="2:9" x14ac:dyDescent="0.25">
      <c r="B260" t="s">
        <v>579</v>
      </c>
      <c r="C260" s="9" t="s">
        <v>580</v>
      </c>
      <c r="D260" s="9" t="s">
        <v>139</v>
      </c>
      <c r="E260" s="9" t="s">
        <v>84</v>
      </c>
      <c r="F260" t="s">
        <v>1661</v>
      </c>
      <c r="G260">
        <v>22</v>
      </c>
      <c r="H260" s="11">
        <v>1697000</v>
      </c>
      <c r="I260" s="10">
        <v>3.56548418727697</v>
      </c>
    </row>
    <row r="261" spans="2:9" x14ac:dyDescent="0.25">
      <c r="B261" t="s">
        <v>601</v>
      </c>
      <c r="C261" s="9" t="s">
        <v>602</v>
      </c>
      <c r="D261" s="9" t="s">
        <v>170</v>
      </c>
      <c r="E261" s="9" t="s">
        <v>10</v>
      </c>
      <c r="F261" t="s">
        <v>1668</v>
      </c>
      <c r="G261">
        <v>37</v>
      </c>
      <c r="H261" s="11">
        <v>1849000</v>
      </c>
      <c r="I261" s="10">
        <v>3.5536394489917602</v>
      </c>
    </row>
    <row r="262" spans="2:9" x14ac:dyDescent="0.25">
      <c r="B262" t="s">
        <v>449</v>
      </c>
      <c r="C262" s="9" t="s">
        <v>450</v>
      </c>
      <c r="D262" s="9" t="s">
        <v>96</v>
      </c>
      <c r="E262" s="9" t="s">
        <v>10</v>
      </c>
      <c r="F262" t="s">
        <v>1665</v>
      </c>
      <c r="G262">
        <v>36</v>
      </c>
      <c r="H262" s="11">
        <v>2030000</v>
      </c>
      <c r="I262" s="10">
        <v>3.5534273000275598</v>
      </c>
    </row>
    <row r="263" spans="2:9" x14ac:dyDescent="0.25">
      <c r="B263" t="s">
        <v>483</v>
      </c>
      <c r="C263" s="9" t="s">
        <v>484</v>
      </c>
      <c r="D263" s="9" t="s">
        <v>242</v>
      </c>
      <c r="E263" s="9" t="s">
        <v>84</v>
      </c>
      <c r="F263" t="s">
        <v>1656</v>
      </c>
      <c r="G263">
        <v>28</v>
      </c>
      <c r="H263" s="11">
        <v>1758000</v>
      </c>
      <c r="I263" s="10">
        <v>3.5440804875153802</v>
      </c>
    </row>
    <row r="264" spans="2:9" x14ac:dyDescent="0.25">
      <c r="B264" t="s">
        <v>783</v>
      </c>
      <c r="C264" s="9" t="s">
        <v>784</v>
      </c>
      <c r="D264" s="9" t="s">
        <v>153</v>
      </c>
      <c r="E264" s="9" t="s">
        <v>37</v>
      </c>
      <c r="F264" t="s">
        <v>1655</v>
      </c>
      <c r="G264">
        <v>29</v>
      </c>
      <c r="H264" s="11">
        <v>1982000</v>
      </c>
      <c r="I264" s="10">
        <v>3.5420495837627399</v>
      </c>
    </row>
    <row r="265" spans="2:9" x14ac:dyDescent="0.25">
      <c r="B265" t="s">
        <v>479</v>
      </c>
      <c r="C265" s="9" t="s">
        <v>480</v>
      </c>
      <c r="D265" s="9" t="s">
        <v>13</v>
      </c>
      <c r="E265" s="9" t="s">
        <v>37</v>
      </c>
      <c r="F265" t="s">
        <v>1668</v>
      </c>
      <c r="G265">
        <v>31</v>
      </c>
      <c r="H265" s="11">
        <v>2218000</v>
      </c>
      <c r="I265" s="10">
        <v>3.52438537518751</v>
      </c>
    </row>
    <row r="266" spans="2:9" x14ac:dyDescent="0.25">
      <c r="B266" t="s">
        <v>613</v>
      </c>
      <c r="C266" s="9" t="s">
        <v>614</v>
      </c>
      <c r="D266" s="9" t="s">
        <v>181</v>
      </c>
      <c r="E266" s="9" t="s">
        <v>10</v>
      </c>
      <c r="F266" t="s">
        <v>1668</v>
      </c>
      <c r="G266">
        <v>30</v>
      </c>
      <c r="H266" s="11">
        <v>1040000</v>
      </c>
      <c r="I266" s="10">
        <v>3.5230469443964001</v>
      </c>
    </row>
    <row r="267" spans="2:9" x14ac:dyDescent="0.25">
      <c r="B267" t="s">
        <v>553</v>
      </c>
      <c r="C267" s="9" t="s">
        <v>554</v>
      </c>
      <c r="D267" s="9" t="s">
        <v>114</v>
      </c>
      <c r="E267" s="9" t="s">
        <v>30</v>
      </c>
      <c r="F267" t="s">
        <v>1668</v>
      </c>
      <c r="G267">
        <v>32</v>
      </c>
      <c r="H267" s="11">
        <v>1911000</v>
      </c>
      <c r="I267" s="10">
        <v>3.5132902920729498</v>
      </c>
    </row>
    <row r="268" spans="2:9" x14ac:dyDescent="0.25">
      <c r="B268" t="s">
        <v>859</v>
      </c>
      <c r="C268" s="9" t="s">
        <v>860</v>
      </c>
      <c r="D268" s="9" t="s">
        <v>239</v>
      </c>
      <c r="E268" s="9" t="s">
        <v>37</v>
      </c>
      <c r="F268" t="s">
        <v>1668</v>
      </c>
      <c r="G268">
        <v>25</v>
      </c>
      <c r="H268" s="11">
        <v>1812000</v>
      </c>
      <c r="I268" s="10">
        <v>3.5067428637149298</v>
      </c>
    </row>
    <row r="269" spans="2:9" x14ac:dyDescent="0.25">
      <c r="B269" t="s">
        <v>533</v>
      </c>
      <c r="C269" s="9" t="s">
        <v>534</v>
      </c>
      <c r="D269" s="9" t="s">
        <v>20</v>
      </c>
      <c r="E269" s="9" t="s">
        <v>84</v>
      </c>
      <c r="F269" t="s">
        <v>1659</v>
      </c>
      <c r="G269">
        <v>31</v>
      </c>
      <c r="H269" s="11">
        <v>750000</v>
      </c>
      <c r="I269" s="10">
        <v>3.5041580685592</v>
      </c>
    </row>
    <row r="270" spans="2:9" x14ac:dyDescent="0.25">
      <c r="B270" t="s">
        <v>389</v>
      </c>
      <c r="C270" s="9" t="s">
        <v>390</v>
      </c>
      <c r="D270" s="9" t="s">
        <v>236</v>
      </c>
      <c r="E270" s="9" t="s">
        <v>30</v>
      </c>
      <c r="F270" t="s">
        <v>1668</v>
      </c>
      <c r="G270">
        <v>24</v>
      </c>
      <c r="H270" s="11">
        <v>1288000</v>
      </c>
      <c r="I270" s="10">
        <v>3.4884907130115499</v>
      </c>
    </row>
    <row r="271" spans="2:9" x14ac:dyDescent="0.25">
      <c r="B271" t="s">
        <v>503</v>
      </c>
      <c r="C271" s="9" t="s">
        <v>504</v>
      </c>
      <c r="D271" s="9" t="s">
        <v>72</v>
      </c>
      <c r="E271" s="9" t="s">
        <v>84</v>
      </c>
      <c r="F271" t="s">
        <v>1659</v>
      </c>
      <c r="G271">
        <v>25</v>
      </c>
      <c r="H271" s="11">
        <v>1181000</v>
      </c>
      <c r="I271" s="10">
        <v>3.4810109209443101</v>
      </c>
    </row>
    <row r="272" spans="2:9" x14ac:dyDescent="0.25">
      <c r="B272" t="s">
        <v>717</v>
      </c>
      <c r="C272" s="9" t="s">
        <v>718</v>
      </c>
      <c r="D272" s="9" t="s">
        <v>139</v>
      </c>
      <c r="E272" s="9" t="s">
        <v>43</v>
      </c>
      <c r="F272" t="s">
        <v>1667</v>
      </c>
      <c r="G272">
        <v>33</v>
      </c>
      <c r="H272" s="11">
        <v>2048000</v>
      </c>
      <c r="I272" s="10">
        <v>3.4713872815653999</v>
      </c>
    </row>
    <row r="273" spans="2:9" x14ac:dyDescent="0.25">
      <c r="B273" t="s">
        <v>677</v>
      </c>
      <c r="C273" s="9" t="s">
        <v>678</v>
      </c>
      <c r="D273" s="9" t="s">
        <v>75</v>
      </c>
      <c r="E273" s="9" t="s">
        <v>17</v>
      </c>
      <c r="F273" t="s">
        <v>1668</v>
      </c>
      <c r="G273">
        <v>34</v>
      </c>
      <c r="H273" s="11">
        <v>1653000</v>
      </c>
      <c r="I273" s="10">
        <v>3.4657946638894601</v>
      </c>
    </row>
    <row r="274" spans="2:9" x14ac:dyDescent="0.25">
      <c r="B274" t="s">
        <v>733</v>
      </c>
      <c r="C274" s="9" t="s">
        <v>734</v>
      </c>
      <c r="D274" s="9" t="s">
        <v>128</v>
      </c>
      <c r="E274" s="9" t="s">
        <v>10</v>
      </c>
      <c r="F274" t="s">
        <v>1668</v>
      </c>
      <c r="G274">
        <v>30</v>
      </c>
      <c r="H274" s="11">
        <v>1628000</v>
      </c>
      <c r="I274" s="10">
        <v>3.45848108446142</v>
      </c>
    </row>
    <row r="275" spans="2:9" x14ac:dyDescent="0.25">
      <c r="B275" t="s">
        <v>585</v>
      </c>
      <c r="C275" s="9" t="s">
        <v>1605</v>
      </c>
      <c r="D275" s="9" t="s">
        <v>13</v>
      </c>
      <c r="E275" s="9" t="s">
        <v>43</v>
      </c>
      <c r="F275" t="s">
        <v>1668</v>
      </c>
      <c r="G275">
        <v>24</v>
      </c>
      <c r="H275" s="11">
        <v>1424000</v>
      </c>
      <c r="I275" s="10">
        <v>3.4477286729209702</v>
      </c>
    </row>
    <row r="276" spans="2:9" x14ac:dyDescent="0.25">
      <c r="B276" t="s">
        <v>705</v>
      </c>
      <c r="C276" s="9" t="s">
        <v>706</v>
      </c>
      <c r="D276" s="9" t="s">
        <v>170</v>
      </c>
      <c r="E276" s="9" t="s">
        <v>10</v>
      </c>
      <c r="F276" t="s">
        <v>1668</v>
      </c>
      <c r="G276">
        <v>25</v>
      </c>
      <c r="H276" s="11">
        <v>1578000</v>
      </c>
      <c r="I276" s="10">
        <v>3.4471293831737899</v>
      </c>
    </row>
    <row r="277" spans="2:9" x14ac:dyDescent="0.25">
      <c r="B277" t="s">
        <v>341</v>
      </c>
      <c r="C277" s="9" t="s">
        <v>342</v>
      </c>
      <c r="D277" s="9" t="s">
        <v>150</v>
      </c>
      <c r="E277" s="9" t="s">
        <v>37</v>
      </c>
      <c r="F277" t="s">
        <v>1665</v>
      </c>
      <c r="G277">
        <v>24</v>
      </c>
      <c r="H277" s="11">
        <v>2305000</v>
      </c>
      <c r="I277" s="10">
        <v>3.4352418378782099</v>
      </c>
    </row>
    <row r="278" spans="2:9" x14ac:dyDescent="0.25">
      <c r="B278" t="s">
        <v>623</v>
      </c>
      <c r="C278" s="9" t="s">
        <v>624</v>
      </c>
      <c r="D278" s="9" t="s">
        <v>131</v>
      </c>
      <c r="E278" s="9" t="s">
        <v>10</v>
      </c>
      <c r="F278" t="s">
        <v>1660</v>
      </c>
      <c r="G278">
        <v>26</v>
      </c>
      <c r="H278" s="11">
        <v>1666000</v>
      </c>
      <c r="I278" s="10">
        <v>3.4105483705022501</v>
      </c>
    </row>
    <row r="279" spans="2:9" x14ac:dyDescent="0.25">
      <c r="B279" t="s">
        <v>437</v>
      </c>
      <c r="C279" s="9" t="s">
        <v>438</v>
      </c>
      <c r="D279" s="9" t="s">
        <v>242</v>
      </c>
      <c r="E279" s="9" t="s">
        <v>43</v>
      </c>
      <c r="F279" t="s">
        <v>1654</v>
      </c>
      <c r="G279">
        <v>24</v>
      </c>
      <c r="H279" s="11">
        <v>850000</v>
      </c>
      <c r="I279" s="10">
        <v>3.3986195654928801</v>
      </c>
    </row>
    <row r="280" spans="2:9" x14ac:dyDescent="0.25">
      <c r="B280" t="s">
        <v>917</v>
      </c>
      <c r="C280" s="9" t="s">
        <v>918</v>
      </c>
      <c r="D280" s="9" t="s">
        <v>139</v>
      </c>
      <c r="E280" s="9" t="s">
        <v>10</v>
      </c>
      <c r="F280" t="s">
        <v>1660</v>
      </c>
      <c r="G280">
        <v>25</v>
      </c>
      <c r="H280" s="11">
        <v>1926000</v>
      </c>
      <c r="I280" s="10">
        <v>3.39667375954344</v>
      </c>
    </row>
    <row r="281" spans="2:9" x14ac:dyDescent="0.25">
      <c r="B281" t="s">
        <v>669</v>
      </c>
      <c r="C281" s="9" t="s">
        <v>670</v>
      </c>
      <c r="D281" s="9" t="s">
        <v>53</v>
      </c>
      <c r="E281" s="9" t="s">
        <v>37</v>
      </c>
      <c r="F281" t="s">
        <v>1668</v>
      </c>
      <c r="G281">
        <v>24</v>
      </c>
      <c r="H281" s="11">
        <v>1216000</v>
      </c>
      <c r="I281" s="10">
        <v>3.3895629172408901</v>
      </c>
    </row>
    <row r="282" spans="2:9" x14ac:dyDescent="0.25">
      <c r="B282" t="s">
        <v>615</v>
      </c>
      <c r="C282" s="9" t="s">
        <v>616</v>
      </c>
      <c r="D282" s="9" t="s">
        <v>16</v>
      </c>
      <c r="E282" s="9" t="s">
        <v>84</v>
      </c>
      <c r="F282" t="s">
        <v>1668</v>
      </c>
      <c r="G282">
        <v>29</v>
      </c>
      <c r="H282" s="11">
        <v>1644000</v>
      </c>
      <c r="I282" s="10">
        <v>3.3824137670185399</v>
      </c>
    </row>
    <row r="283" spans="2:9" x14ac:dyDescent="0.25">
      <c r="B283" t="s">
        <v>489</v>
      </c>
      <c r="C283" s="9" t="s">
        <v>490</v>
      </c>
      <c r="D283" s="9" t="s">
        <v>40</v>
      </c>
      <c r="E283" s="9" t="s">
        <v>84</v>
      </c>
      <c r="F283" t="s">
        <v>1668</v>
      </c>
      <c r="G283">
        <v>30</v>
      </c>
      <c r="H283" s="11">
        <v>1511000</v>
      </c>
      <c r="I283" s="10">
        <v>3.3814248929897599</v>
      </c>
    </row>
    <row r="284" spans="2:9" x14ac:dyDescent="0.25">
      <c r="B284" t="s">
        <v>653</v>
      </c>
      <c r="C284" s="9" t="s">
        <v>654</v>
      </c>
      <c r="D284" s="9" t="s">
        <v>16</v>
      </c>
      <c r="E284" s="9" t="s">
        <v>17</v>
      </c>
      <c r="F284" t="s">
        <v>1668</v>
      </c>
      <c r="G284">
        <v>34</v>
      </c>
      <c r="H284" s="11">
        <v>1816000</v>
      </c>
      <c r="I284" s="10">
        <v>3.3773241481532401</v>
      </c>
    </row>
    <row r="285" spans="2:9" x14ac:dyDescent="0.25">
      <c r="B285" t="s">
        <v>1538</v>
      </c>
      <c r="C285" s="9" t="s">
        <v>1600</v>
      </c>
      <c r="D285" s="9" t="s">
        <v>16</v>
      </c>
      <c r="E285" s="9" t="s">
        <v>84</v>
      </c>
      <c r="F285" t="s">
        <v>1666</v>
      </c>
      <c r="G285">
        <v>23</v>
      </c>
      <c r="H285" s="11">
        <v>4383000</v>
      </c>
      <c r="I285" s="10">
        <v>3.3714598970063498</v>
      </c>
    </row>
    <row r="286" spans="2:9" x14ac:dyDescent="0.25">
      <c r="B286" t="s">
        <v>593</v>
      </c>
      <c r="C286" s="9" t="s">
        <v>594</v>
      </c>
      <c r="D286" s="9" t="s">
        <v>117</v>
      </c>
      <c r="E286" s="9" t="s">
        <v>10</v>
      </c>
      <c r="F286" t="s">
        <v>1668</v>
      </c>
      <c r="G286">
        <v>31</v>
      </c>
      <c r="H286" s="11">
        <v>1306000</v>
      </c>
      <c r="I286" s="10">
        <v>3.3562044553393702</v>
      </c>
    </row>
    <row r="287" spans="2:9" x14ac:dyDescent="0.25">
      <c r="B287" t="s">
        <v>701</v>
      </c>
      <c r="C287" s="9" t="s">
        <v>702</v>
      </c>
      <c r="D287" s="9" t="s">
        <v>128</v>
      </c>
      <c r="E287" s="9" t="s">
        <v>84</v>
      </c>
      <c r="F287" t="s">
        <v>1668</v>
      </c>
      <c r="G287">
        <v>34</v>
      </c>
      <c r="H287" s="11">
        <v>1587000</v>
      </c>
      <c r="I287" s="10">
        <v>3.3562001014724001</v>
      </c>
    </row>
    <row r="288" spans="2:9" x14ac:dyDescent="0.25">
      <c r="B288" t="s">
        <v>1529</v>
      </c>
      <c r="C288" s="9" t="s">
        <v>1588</v>
      </c>
      <c r="D288" s="9" t="s">
        <v>114</v>
      </c>
      <c r="E288" s="9" t="s">
        <v>84</v>
      </c>
      <c r="F288" t="s">
        <v>1656</v>
      </c>
      <c r="G288">
        <v>24</v>
      </c>
      <c r="H288" s="11">
        <v>1196000</v>
      </c>
      <c r="I288" s="10">
        <v>3.3546393786089301</v>
      </c>
    </row>
    <row r="289" spans="2:9" x14ac:dyDescent="0.25">
      <c r="B289" t="s">
        <v>527</v>
      </c>
      <c r="C289" s="9" t="s">
        <v>528</v>
      </c>
      <c r="D289" s="9" t="s">
        <v>13</v>
      </c>
      <c r="E289" s="9" t="s">
        <v>84</v>
      </c>
      <c r="F289" t="s">
        <v>1668</v>
      </c>
      <c r="G289">
        <v>31</v>
      </c>
      <c r="H289" s="11">
        <v>1505000</v>
      </c>
      <c r="I289" s="10">
        <v>3.3504436185838902</v>
      </c>
    </row>
    <row r="290" spans="2:9" x14ac:dyDescent="0.25">
      <c r="B290" t="s">
        <v>537</v>
      </c>
      <c r="C290" s="9" t="s">
        <v>538</v>
      </c>
      <c r="D290" s="9" t="s">
        <v>27</v>
      </c>
      <c r="E290" s="9" t="s">
        <v>84</v>
      </c>
      <c r="F290" t="s">
        <v>1668</v>
      </c>
      <c r="G290">
        <v>25</v>
      </c>
      <c r="H290" s="11">
        <v>835000</v>
      </c>
      <c r="I290" s="10">
        <v>3.3500202699992201</v>
      </c>
    </row>
    <row r="291" spans="2:9" x14ac:dyDescent="0.25">
      <c r="B291" t="s">
        <v>539</v>
      </c>
      <c r="C291" s="9" t="s">
        <v>540</v>
      </c>
      <c r="D291" s="9" t="s">
        <v>13</v>
      </c>
      <c r="E291" s="9" t="s">
        <v>30</v>
      </c>
      <c r="F291" t="s">
        <v>1668</v>
      </c>
      <c r="G291">
        <v>30</v>
      </c>
      <c r="H291" s="11">
        <v>1451000</v>
      </c>
      <c r="I291" s="10">
        <v>3.3222974257480402</v>
      </c>
    </row>
    <row r="292" spans="2:9" x14ac:dyDescent="0.25">
      <c r="B292" t="s">
        <v>499</v>
      </c>
      <c r="C292" s="9" t="s">
        <v>500</v>
      </c>
      <c r="D292" s="9" t="s">
        <v>114</v>
      </c>
      <c r="E292" s="9" t="s">
        <v>84</v>
      </c>
      <c r="F292" t="s">
        <v>1668</v>
      </c>
      <c r="G292">
        <v>35</v>
      </c>
      <c r="H292" s="11">
        <v>1735000</v>
      </c>
      <c r="I292" s="10">
        <v>3.3149760335499301</v>
      </c>
    </row>
    <row r="293" spans="2:9" x14ac:dyDescent="0.25">
      <c r="B293" t="s">
        <v>815</v>
      </c>
      <c r="C293" s="9" t="s">
        <v>816</v>
      </c>
      <c r="D293" s="9" t="s">
        <v>107</v>
      </c>
      <c r="E293" s="9" t="s">
        <v>37</v>
      </c>
      <c r="F293" t="s">
        <v>1668</v>
      </c>
      <c r="G293">
        <v>27</v>
      </c>
      <c r="H293" s="11">
        <v>1541000</v>
      </c>
      <c r="I293" s="10">
        <v>3.3038220751207201</v>
      </c>
    </row>
    <row r="294" spans="2:9" x14ac:dyDescent="0.25">
      <c r="B294" t="s">
        <v>755</v>
      </c>
      <c r="C294" s="9" t="s">
        <v>756</v>
      </c>
      <c r="D294" s="9" t="s">
        <v>16</v>
      </c>
      <c r="E294" s="9" t="s">
        <v>84</v>
      </c>
      <c r="F294" t="s">
        <v>1654</v>
      </c>
      <c r="G294">
        <v>35</v>
      </c>
      <c r="H294" s="11">
        <v>1651000</v>
      </c>
      <c r="I294" s="10">
        <v>3.2994172142996101</v>
      </c>
    </row>
    <row r="295" spans="2:9" x14ac:dyDescent="0.25">
      <c r="B295" t="s">
        <v>543</v>
      </c>
      <c r="C295" s="9" t="s">
        <v>544</v>
      </c>
      <c r="D295" s="9" t="s">
        <v>153</v>
      </c>
      <c r="E295" s="9" t="s">
        <v>84</v>
      </c>
      <c r="F295" t="s">
        <v>1667</v>
      </c>
      <c r="G295">
        <v>33</v>
      </c>
      <c r="H295" s="11">
        <v>1250000</v>
      </c>
      <c r="I295" s="10">
        <v>3.2971637306445198</v>
      </c>
    </row>
    <row r="296" spans="2:9" x14ac:dyDescent="0.25">
      <c r="B296" t="s">
        <v>1532</v>
      </c>
      <c r="C296" s="9" t="s">
        <v>1593</v>
      </c>
      <c r="D296" s="9" t="s">
        <v>104</v>
      </c>
      <c r="E296" s="9" t="s">
        <v>10</v>
      </c>
      <c r="F296" t="s">
        <v>1666</v>
      </c>
      <c r="G296">
        <v>21</v>
      </c>
      <c r="H296" s="11">
        <v>1980000</v>
      </c>
      <c r="I296" s="10">
        <v>3.2934544139293802</v>
      </c>
    </row>
    <row r="297" spans="2:9" x14ac:dyDescent="0.25">
      <c r="B297" t="s">
        <v>495</v>
      </c>
      <c r="C297" s="9" t="s">
        <v>496</v>
      </c>
      <c r="D297" s="9" t="s">
        <v>9</v>
      </c>
      <c r="E297" s="9" t="s">
        <v>84</v>
      </c>
      <c r="F297" t="s">
        <v>1668</v>
      </c>
      <c r="G297">
        <v>33</v>
      </c>
      <c r="H297" s="11">
        <v>1003000</v>
      </c>
      <c r="I297" s="10">
        <v>3.2655410672609499</v>
      </c>
    </row>
    <row r="298" spans="2:9" x14ac:dyDescent="0.25">
      <c r="B298" t="s">
        <v>663</v>
      </c>
      <c r="C298" s="9" t="s">
        <v>664</v>
      </c>
      <c r="D298" s="9" t="s">
        <v>20</v>
      </c>
      <c r="E298" s="9" t="s">
        <v>84</v>
      </c>
      <c r="F298" t="s">
        <v>1668</v>
      </c>
      <c r="G298">
        <v>30</v>
      </c>
      <c r="H298" s="11">
        <v>1707000</v>
      </c>
      <c r="I298" s="10">
        <v>3.2623433714718399</v>
      </c>
    </row>
    <row r="299" spans="2:9" x14ac:dyDescent="0.25">
      <c r="B299" t="s">
        <v>633</v>
      </c>
      <c r="C299" s="9" t="s">
        <v>634</v>
      </c>
      <c r="D299" s="9" t="s">
        <v>150</v>
      </c>
      <c r="E299" s="9" t="s">
        <v>84</v>
      </c>
      <c r="F299" t="s">
        <v>1668</v>
      </c>
      <c r="G299">
        <v>32</v>
      </c>
      <c r="H299" s="11">
        <v>1682000</v>
      </c>
      <c r="I299" s="10">
        <v>3.2614611146286099</v>
      </c>
    </row>
    <row r="300" spans="2:9" x14ac:dyDescent="0.25">
      <c r="B300" t="s">
        <v>691</v>
      </c>
      <c r="C300" s="9" t="s">
        <v>692</v>
      </c>
      <c r="D300" s="9" t="s">
        <v>33</v>
      </c>
      <c r="E300" s="9" t="s">
        <v>84</v>
      </c>
      <c r="F300" t="s">
        <v>1663</v>
      </c>
      <c r="G300">
        <v>23</v>
      </c>
      <c r="H300" s="11">
        <v>1669000</v>
      </c>
      <c r="I300" s="10">
        <v>3.2607157142679899</v>
      </c>
    </row>
    <row r="301" spans="2:9" x14ac:dyDescent="0.25">
      <c r="B301" t="s">
        <v>761</v>
      </c>
      <c r="C301" s="9" t="s">
        <v>762</v>
      </c>
      <c r="D301" s="9" t="s">
        <v>40</v>
      </c>
      <c r="E301" s="9" t="s">
        <v>10</v>
      </c>
      <c r="F301" t="s">
        <v>1668</v>
      </c>
      <c r="G301">
        <v>35</v>
      </c>
      <c r="H301" s="11">
        <v>1650000</v>
      </c>
      <c r="I301" s="10">
        <v>3.2591104039841601</v>
      </c>
    </row>
    <row r="302" spans="2:9" x14ac:dyDescent="0.25">
      <c r="B302" t="s">
        <v>471</v>
      </c>
      <c r="C302" s="9" t="s">
        <v>472</v>
      </c>
      <c r="D302" s="9" t="s">
        <v>24</v>
      </c>
      <c r="E302" s="9" t="s">
        <v>43</v>
      </c>
      <c r="F302" t="s">
        <v>1664</v>
      </c>
      <c r="G302">
        <v>29</v>
      </c>
      <c r="H302" s="11">
        <v>1470000</v>
      </c>
      <c r="I302" s="10">
        <v>3.2546933142740802</v>
      </c>
    </row>
    <row r="303" spans="2:9" x14ac:dyDescent="0.25">
      <c r="B303" t="s">
        <v>597</v>
      </c>
      <c r="C303" s="9" t="s">
        <v>598</v>
      </c>
      <c r="D303" s="9" t="s">
        <v>9</v>
      </c>
      <c r="E303" s="9" t="s">
        <v>84</v>
      </c>
      <c r="F303" t="s">
        <v>1668</v>
      </c>
      <c r="G303">
        <v>27</v>
      </c>
      <c r="H303" s="11">
        <v>1470000</v>
      </c>
      <c r="I303" s="10">
        <v>3.25136471145832</v>
      </c>
    </row>
    <row r="304" spans="2:9" x14ac:dyDescent="0.25">
      <c r="B304" t="s">
        <v>729</v>
      </c>
      <c r="C304" s="9" t="s">
        <v>730</v>
      </c>
      <c r="D304" s="9" t="s">
        <v>117</v>
      </c>
      <c r="E304" s="9" t="s">
        <v>21</v>
      </c>
      <c r="F304" t="s">
        <v>1668</v>
      </c>
      <c r="G304">
        <v>28</v>
      </c>
      <c r="H304" s="11">
        <v>1778000</v>
      </c>
      <c r="I304" s="10">
        <v>3.23445758082031</v>
      </c>
    </row>
    <row r="305" spans="2:9" x14ac:dyDescent="0.25">
      <c r="B305" t="s">
        <v>687</v>
      </c>
      <c r="C305" s="9" t="s">
        <v>688</v>
      </c>
      <c r="D305" s="9" t="s">
        <v>181</v>
      </c>
      <c r="E305" s="9" t="s">
        <v>43</v>
      </c>
      <c r="F305" t="s">
        <v>1668</v>
      </c>
      <c r="G305">
        <v>30</v>
      </c>
      <c r="H305" s="11">
        <v>1661000</v>
      </c>
      <c r="I305" s="10">
        <v>3.2335711616818501</v>
      </c>
    </row>
    <row r="306" spans="2:9" x14ac:dyDescent="0.25">
      <c r="B306" t="s">
        <v>575</v>
      </c>
      <c r="C306" s="9" t="s">
        <v>576</v>
      </c>
      <c r="D306" s="9" t="s">
        <v>87</v>
      </c>
      <c r="E306" s="9" t="s">
        <v>37</v>
      </c>
      <c r="F306" t="s">
        <v>1668</v>
      </c>
      <c r="G306">
        <v>31</v>
      </c>
      <c r="H306" s="11">
        <v>1102000</v>
      </c>
      <c r="I306" s="10">
        <v>3.2218689147933399</v>
      </c>
    </row>
    <row r="307" spans="2:9" x14ac:dyDescent="0.25">
      <c r="B307" t="s">
        <v>431</v>
      </c>
      <c r="C307" s="9" t="s">
        <v>432</v>
      </c>
      <c r="D307" s="9" t="s">
        <v>72</v>
      </c>
      <c r="E307" s="9" t="s">
        <v>43</v>
      </c>
      <c r="F307" t="s">
        <v>1668</v>
      </c>
      <c r="G307">
        <v>30</v>
      </c>
      <c r="H307" s="11">
        <v>750000</v>
      </c>
      <c r="I307" s="10">
        <v>3.2208907542337002</v>
      </c>
    </row>
    <row r="308" spans="2:9" x14ac:dyDescent="0.25">
      <c r="B308" t="s">
        <v>491</v>
      </c>
      <c r="C308" s="9" t="s">
        <v>492</v>
      </c>
      <c r="D308" s="9" t="s">
        <v>150</v>
      </c>
      <c r="E308" s="9" t="s">
        <v>84</v>
      </c>
      <c r="F308" t="s">
        <v>1663</v>
      </c>
      <c r="G308">
        <v>24</v>
      </c>
      <c r="H308" s="11">
        <v>1213000</v>
      </c>
      <c r="I308" s="10">
        <v>3.2137769043747602</v>
      </c>
    </row>
    <row r="309" spans="2:9" x14ac:dyDescent="0.25">
      <c r="B309" t="s">
        <v>679</v>
      </c>
      <c r="C309" s="9" t="s">
        <v>680</v>
      </c>
      <c r="D309" s="9" t="s">
        <v>242</v>
      </c>
      <c r="E309" s="9" t="s">
        <v>84</v>
      </c>
      <c r="F309" t="s">
        <v>1668</v>
      </c>
      <c r="G309">
        <v>31</v>
      </c>
      <c r="H309" s="11">
        <v>1466000</v>
      </c>
      <c r="I309" s="10">
        <v>3.2124834362098702</v>
      </c>
    </row>
    <row r="310" spans="2:9" x14ac:dyDescent="0.25">
      <c r="B310" t="s">
        <v>671</v>
      </c>
      <c r="C310" s="9" t="s">
        <v>672</v>
      </c>
      <c r="D310" s="9" t="s">
        <v>78</v>
      </c>
      <c r="E310" s="9" t="s">
        <v>43</v>
      </c>
      <c r="F310" t="s">
        <v>1668</v>
      </c>
      <c r="G310">
        <v>30</v>
      </c>
      <c r="H310" s="11">
        <v>1357000</v>
      </c>
      <c r="I310" s="10">
        <v>3.2017075258837902</v>
      </c>
    </row>
    <row r="311" spans="2:9" x14ac:dyDescent="0.25">
      <c r="B311" t="s">
        <v>591</v>
      </c>
      <c r="C311" s="9" t="s">
        <v>592</v>
      </c>
      <c r="D311" s="9" t="s">
        <v>170</v>
      </c>
      <c r="E311" s="9" t="s">
        <v>84</v>
      </c>
      <c r="F311" t="s">
        <v>1668</v>
      </c>
      <c r="G311">
        <v>30</v>
      </c>
      <c r="H311" s="11">
        <v>1482000</v>
      </c>
      <c r="I311" s="10">
        <v>3.1994055922045801</v>
      </c>
    </row>
    <row r="312" spans="2:9" x14ac:dyDescent="0.25">
      <c r="B312" t="s">
        <v>519</v>
      </c>
      <c r="C312" s="9" t="s">
        <v>520</v>
      </c>
      <c r="D312" s="9" t="s">
        <v>117</v>
      </c>
      <c r="E312" s="9" t="s">
        <v>84</v>
      </c>
      <c r="F312" t="s">
        <v>1668</v>
      </c>
      <c r="G312">
        <v>28</v>
      </c>
      <c r="H312" s="11">
        <v>750000</v>
      </c>
      <c r="I312" s="10">
        <v>3.19926543438469</v>
      </c>
    </row>
    <row r="313" spans="2:9" x14ac:dyDescent="0.25">
      <c r="B313" t="s">
        <v>673</v>
      </c>
      <c r="C313" s="9" t="s">
        <v>674</v>
      </c>
      <c r="D313" s="9" t="s">
        <v>40</v>
      </c>
      <c r="E313" s="9" t="s">
        <v>84</v>
      </c>
      <c r="F313" t="s">
        <v>1668</v>
      </c>
      <c r="G313">
        <v>25</v>
      </c>
      <c r="H313" s="11">
        <v>1678000</v>
      </c>
      <c r="I313" s="10">
        <v>3.1828939771902398</v>
      </c>
    </row>
    <row r="314" spans="2:9" x14ac:dyDescent="0.25">
      <c r="B314" t="s">
        <v>713</v>
      </c>
      <c r="C314" s="9" t="s">
        <v>714</v>
      </c>
      <c r="D314" s="9" t="s">
        <v>46</v>
      </c>
      <c r="E314" s="9" t="s">
        <v>43</v>
      </c>
      <c r="F314" t="s">
        <v>1668</v>
      </c>
      <c r="G314">
        <v>31</v>
      </c>
      <c r="H314" s="11">
        <v>1684000</v>
      </c>
      <c r="I314" s="10">
        <v>3.1819056309805398</v>
      </c>
    </row>
    <row r="315" spans="2:9" x14ac:dyDescent="0.25">
      <c r="B315" t="s">
        <v>427</v>
      </c>
      <c r="C315" s="9" t="s">
        <v>428</v>
      </c>
      <c r="D315" s="9" t="s">
        <v>181</v>
      </c>
      <c r="E315" s="9" t="s">
        <v>37</v>
      </c>
      <c r="F315" t="s">
        <v>1668</v>
      </c>
      <c r="G315">
        <v>23</v>
      </c>
      <c r="H315" s="11">
        <v>1075000</v>
      </c>
      <c r="I315" s="10">
        <v>3.1812993592726202</v>
      </c>
    </row>
    <row r="316" spans="2:9" x14ac:dyDescent="0.25">
      <c r="B316" t="s">
        <v>1535</v>
      </c>
      <c r="C316" s="9" t="s">
        <v>1597</v>
      </c>
      <c r="D316" s="9" t="s">
        <v>53</v>
      </c>
      <c r="E316" s="9" t="s">
        <v>84</v>
      </c>
      <c r="F316" t="s">
        <v>1657</v>
      </c>
      <c r="G316">
        <v>22</v>
      </c>
      <c r="H316" s="11">
        <v>1270000</v>
      </c>
      <c r="I316" s="10">
        <v>3.1749583348649399</v>
      </c>
    </row>
    <row r="317" spans="2:9" x14ac:dyDescent="0.25">
      <c r="B317" t="s">
        <v>1540</v>
      </c>
      <c r="C317" s="9" t="s">
        <v>1606</v>
      </c>
      <c r="D317" s="9" t="s">
        <v>236</v>
      </c>
      <c r="E317" s="9" t="s">
        <v>84</v>
      </c>
      <c r="F317" t="s">
        <v>1666</v>
      </c>
      <c r="G317">
        <v>23</v>
      </c>
      <c r="H317" s="11">
        <v>1187000</v>
      </c>
      <c r="I317" s="10">
        <v>3.1676155723339998</v>
      </c>
    </row>
    <row r="318" spans="2:9" x14ac:dyDescent="0.25">
      <c r="B318" t="s">
        <v>731</v>
      </c>
      <c r="C318" s="9" t="s">
        <v>732</v>
      </c>
      <c r="D318" s="9" t="s">
        <v>181</v>
      </c>
      <c r="E318" s="9" t="s">
        <v>132</v>
      </c>
      <c r="F318" t="s">
        <v>1657</v>
      </c>
      <c r="G318">
        <v>29</v>
      </c>
      <c r="H318" s="11">
        <v>1381000</v>
      </c>
      <c r="I318" s="10">
        <v>3.1597179897930299</v>
      </c>
    </row>
    <row r="319" spans="2:9" x14ac:dyDescent="0.25">
      <c r="B319" t="s">
        <v>571</v>
      </c>
      <c r="C319" s="9" t="s">
        <v>572</v>
      </c>
      <c r="D319" s="9" t="s">
        <v>72</v>
      </c>
      <c r="E319" s="9" t="s">
        <v>84</v>
      </c>
      <c r="F319" t="s">
        <v>1668</v>
      </c>
      <c r="G319">
        <v>30</v>
      </c>
      <c r="H319" s="11">
        <v>1691000</v>
      </c>
      <c r="I319" s="10">
        <v>3.15114522239368</v>
      </c>
    </row>
    <row r="320" spans="2:9" x14ac:dyDescent="0.25">
      <c r="B320" t="s">
        <v>1135</v>
      </c>
      <c r="C320" s="9" t="s">
        <v>1136</v>
      </c>
      <c r="D320" s="9" t="s">
        <v>239</v>
      </c>
      <c r="E320" s="9" t="s">
        <v>10</v>
      </c>
      <c r="F320" t="s">
        <v>1668</v>
      </c>
      <c r="G320">
        <v>28</v>
      </c>
      <c r="H320" s="11">
        <v>1573000</v>
      </c>
      <c r="I320" s="10">
        <v>3.1491853150354698</v>
      </c>
    </row>
    <row r="321" spans="2:9" x14ac:dyDescent="0.25">
      <c r="B321" t="s">
        <v>1533</v>
      </c>
      <c r="C321" s="9" t="s">
        <v>1594</v>
      </c>
      <c r="D321" s="9" t="s">
        <v>72</v>
      </c>
      <c r="E321" s="9" t="s">
        <v>43</v>
      </c>
      <c r="F321" t="s">
        <v>1668</v>
      </c>
      <c r="G321">
        <v>24</v>
      </c>
      <c r="H321" s="11">
        <v>1977000</v>
      </c>
      <c r="I321" s="10">
        <v>3.1399803742778101</v>
      </c>
    </row>
    <row r="322" spans="2:9" x14ac:dyDescent="0.25">
      <c r="B322" t="s">
        <v>785</v>
      </c>
      <c r="C322" s="9" t="s">
        <v>786</v>
      </c>
      <c r="D322" s="9" t="s">
        <v>181</v>
      </c>
      <c r="E322" s="9" t="s">
        <v>84</v>
      </c>
      <c r="F322" t="s">
        <v>1660</v>
      </c>
      <c r="G322">
        <v>32</v>
      </c>
      <c r="H322" s="11">
        <v>1523000</v>
      </c>
      <c r="I322" s="10">
        <v>3.1398040873180202</v>
      </c>
    </row>
    <row r="323" spans="2:9" x14ac:dyDescent="0.25">
      <c r="B323" t="s">
        <v>461</v>
      </c>
      <c r="C323" s="9" t="s">
        <v>462</v>
      </c>
      <c r="D323" s="9" t="s">
        <v>13</v>
      </c>
      <c r="E323" s="9" t="s">
        <v>17</v>
      </c>
      <c r="F323" t="s">
        <v>1668</v>
      </c>
      <c r="G323">
        <v>29</v>
      </c>
      <c r="H323" s="11">
        <v>1040000</v>
      </c>
      <c r="I323" s="10">
        <v>3.1274416214276002</v>
      </c>
    </row>
    <row r="324" spans="2:9" x14ac:dyDescent="0.25">
      <c r="B324" t="s">
        <v>881</v>
      </c>
      <c r="C324" s="9" t="s">
        <v>882</v>
      </c>
      <c r="D324" s="9" t="s">
        <v>150</v>
      </c>
      <c r="E324" s="9" t="s">
        <v>10</v>
      </c>
      <c r="F324" t="s">
        <v>1668</v>
      </c>
      <c r="G324">
        <v>26</v>
      </c>
      <c r="H324" s="11">
        <v>1849000</v>
      </c>
      <c r="I324" s="10">
        <v>3.1151084386744698</v>
      </c>
    </row>
    <row r="325" spans="2:9" x14ac:dyDescent="0.25">
      <c r="B325" t="s">
        <v>409</v>
      </c>
      <c r="C325" s="9" t="s">
        <v>410</v>
      </c>
      <c r="D325" s="9" t="s">
        <v>117</v>
      </c>
      <c r="E325" s="9" t="s">
        <v>21</v>
      </c>
      <c r="F325" t="s">
        <v>1668</v>
      </c>
      <c r="G325">
        <v>23</v>
      </c>
      <c r="H325" s="11">
        <v>750000</v>
      </c>
      <c r="I325" s="10">
        <v>3.11135353011524</v>
      </c>
    </row>
    <row r="326" spans="2:9" x14ac:dyDescent="0.25">
      <c r="B326" t="s">
        <v>763</v>
      </c>
      <c r="C326" s="9" t="s">
        <v>764</v>
      </c>
      <c r="D326" s="9" t="s">
        <v>153</v>
      </c>
      <c r="E326" s="9" t="s">
        <v>84</v>
      </c>
      <c r="F326" t="s">
        <v>1658</v>
      </c>
      <c r="G326">
        <v>24</v>
      </c>
      <c r="H326" s="11">
        <v>904000</v>
      </c>
      <c r="I326" s="10">
        <v>3.1057957333636299</v>
      </c>
    </row>
    <row r="327" spans="2:9" x14ac:dyDescent="0.25">
      <c r="B327" t="s">
        <v>493</v>
      </c>
      <c r="C327" s="9" t="s">
        <v>494</v>
      </c>
      <c r="D327" s="9" t="s">
        <v>117</v>
      </c>
      <c r="E327" s="9" t="s">
        <v>84</v>
      </c>
      <c r="F327" t="s">
        <v>1668</v>
      </c>
      <c r="G327">
        <v>34</v>
      </c>
      <c r="H327" s="11">
        <v>1685000</v>
      </c>
      <c r="I327" s="10">
        <v>3.0950228712841499</v>
      </c>
    </row>
    <row r="328" spans="2:9" x14ac:dyDescent="0.25">
      <c r="B328" t="s">
        <v>751</v>
      </c>
      <c r="C328" s="9" t="s">
        <v>752</v>
      </c>
      <c r="D328" s="9" t="s">
        <v>107</v>
      </c>
      <c r="E328" s="9" t="s">
        <v>30</v>
      </c>
      <c r="F328" t="s">
        <v>1668</v>
      </c>
      <c r="G328">
        <v>27</v>
      </c>
      <c r="H328" s="11">
        <v>1584000</v>
      </c>
      <c r="I328" s="10">
        <v>3.09341109024759</v>
      </c>
    </row>
    <row r="329" spans="2:9" x14ac:dyDescent="0.25">
      <c r="B329" t="s">
        <v>703</v>
      </c>
      <c r="C329" s="9" t="s">
        <v>704</v>
      </c>
      <c r="D329" s="9" t="s">
        <v>75</v>
      </c>
      <c r="E329" s="9" t="s">
        <v>84</v>
      </c>
      <c r="F329" t="s">
        <v>1668</v>
      </c>
      <c r="G329">
        <v>34</v>
      </c>
      <c r="H329" s="11">
        <v>1250000</v>
      </c>
      <c r="I329" s="10">
        <v>3.0894316475514998</v>
      </c>
    </row>
    <row r="330" spans="2:9" x14ac:dyDescent="0.25">
      <c r="B330" t="s">
        <v>445</v>
      </c>
      <c r="C330" s="9" t="s">
        <v>446</v>
      </c>
      <c r="D330" s="9" t="s">
        <v>236</v>
      </c>
      <c r="E330" s="9" t="s">
        <v>132</v>
      </c>
      <c r="F330" t="s">
        <v>1668</v>
      </c>
      <c r="G330">
        <v>24</v>
      </c>
      <c r="H330" s="11">
        <v>1566000</v>
      </c>
      <c r="I330" s="10">
        <v>3.0827857113277002</v>
      </c>
    </row>
    <row r="331" spans="2:9" x14ac:dyDescent="0.25">
      <c r="B331" t="s">
        <v>627</v>
      </c>
      <c r="C331" s="9" t="s">
        <v>628</v>
      </c>
      <c r="D331" s="9" t="s">
        <v>46</v>
      </c>
      <c r="E331" s="9" t="s">
        <v>84</v>
      </c>
      <c r="F331" t="s">
        <v>1668</v>
      </c>
      <c r="G331">
        <v>32</v>
      </c>
      <c r="H331" s="11">
        <v>1381000</v>
      </c>
      <c r="I331" s="10">
        <v>3.08040283855936</v>
      </c>
    </row>
    <row r="332" spans="2:9" x14ac:dyDescent="0.25">
      <c r="B332" t="s">
        <v>991</v>
      </c>
      <c r="C332" s="9" t="s">
        <v>992</v>
      </c>
      <c r="D332" s="9" t="s">
        <v>117</v>
      </c>
      <c r="E332" s="9" t="s">
        <v>37</v>
      </c>
      <c r="F332" t="s">
        <v>1668</v>
      </c>
      <c r="G332">
        <v>27</v>
      </c>
      <c r="H332" s="11">
        <v>2008000</v>
      </c>
      <c r="I332" s="10">
        <v>3.0780773609980798</v>
      </c>
    </row>
    <row r="333" spans="2:9" x14ac:dyDescent="0.25">
      <c r="B333" t="s">
        <v>749</v>
      </c>
      <c r="C333" s="9" t="s">
        <v>750</v>
      </c>
      <c r="D333" s="9" t="s">
        <v>107</v>
      </c>
      <c r="E333" s="9" t="s">
        <v>84</v>
      </c>
      <c r="F333" t="s">
        <v>1668</v>
      </c>
      <c r="G333">
        <v>29</v>
      </c>
      <c r="H333" s="11">
        <v>1595000</v>
      </c>
      <c r="I333" s="10">
        <v>3.0762976815267402</v>
      </c>
    </row>
    <row r="334" spans="2:9" x14ac:dyDescent="0.25">
      <c r="B334" t="s">
        <v>805</v>
      </c>
      <c r="C334" s="9" t="s">
        <v>806</v>
      </c>
      <c r="D334" s="9" t="s">
        <v>75</v>
      </c>
      <c r="E334" s="9" t="s">
        <v>17</v>
      </c>
      <c r="F334" t="s">
        <v>1668</v>
      </c>
      <c r="G334">
        <v>25</v>
      </c>
      <c r="H334" s="11">
        <v>1489000</v>
      </c>
      <c r="I334" s="10">
        <v>3.06531440207897</v>
      </c>
    </row>
    <row r="335" spans="2:9" x14ac:dyDescent="0.25">
      <c r="B335" t="s">
        <v>807</v>
      </c>
      <c r="C335" s="9" t="s">
        <v>808</v>
      </c>
      <c r="D335" s="9" t="s">
        <v>114</v>
      </c>
      <c r="E335" s="9" t="s">
        <v>10</v>
      </c>
      <c r="F335" t="s">
        <v>1668</v>
      </c>
      <c r="G335">
        <v>26</v>
      </c>
      <c r="H335" s="11">
        <v>1466000</v>
      </c>
      <c r="I335" s="10">
        <v>3.0559695357337899</v>
      </c>
    </row>
    <row r="336" spans="2:9" x14ac:dyDescent="0.25">
      <c r="B336" t="s">
        <v>629</v>
      </c>
      <c r="C336" s="9" t="s">
        <v>630</v>
      </c>
      <c r="D336" s="9" t="s">
        <v>170</v>
      </c>
      <c r="E336" s="9" t="s">
        <v>30</v>
      </c>
      <c r="F336" t="s">
        <v>1668</v>
      </c>
      <c r="G336">
        <v>28</v>
      </c>
      <c r="H336" s="11">
        <v>1868000</v>
      </c>
      <c r="I336" s="10">
        <v>3.0534725274861798</v>
      </c>
    </row>
    <row r="337" spans="2:9" x14ac:dyDescent="0.25">
      <c r="B337" t="s">
        <v>1547</v>
      </c>
      <c r="C337" s="9" t="s">
        <v>1614</v>
      </c>
      <c r="D337" s="9" t="s">
        <v>27</v>
      </c>
      <c r="E337" s="9" t="s">
        <v>43</v>
      </c>
      <c r="F337" t="s">
        <v>1668</v>
      </c>
      <c r="G337">
        <v>24</v>
      </c>
      <c r="H337" s="11">
        <v>913000</v>
      </c>
      <c r="I337" s="10">
        <v>3.03799154358112</v>
      </c>
    </row>
    <row r="338" spans="2:9" x14ac:dyDescent="0.25">
      <c r="B338" t="s">
        <v>649</v>
      </c>
      <c r="C338" s="9" t="s">
        <v>650</v>
      </c>
      <c r="D338" s="9" t="s">
        <v>9</v>
      </c>
      <c r="E338" s="9" t="s">
        <v>43</v>
      </c>
      <c r="F338" t="s">
        <v>1668</v>
      </c>
      <c r="G338">
        <v>30</v>
      </c>
      <c r="H338" s="11">
        <v>1421000</v>
      </c>
      <c r="I338" s="10">
        <v>3.0292329280688102</v>
      </c>
    </row>
    <row r="339" spans="2:9" x14ac:dyDescent="0.25">
      <c r="B339" t="s">
        <v>637</v>
      </c>
      <c r="C339" s="9" t="s">
        <v>638</v>
      </c>
      <c r="D339" s="9" t="s">
        <v>101</v>
      </c>
      <c r="E339" s="9" t="s">
        <v>84</v>
      </c>
      <c r="F339" t="s">
        <v>1668</v>
      </c>
      <c r="G339">
        <v>31</v>
      </c>
      <c r="H339" s="11">
        <v>1726000</v>
      </c>
      <c r="I339" s="10">
        <v>3.02511781501748</v>
      </c>
    </row>
    <row r="340" spans="2:9" x14ac:dyDescent="0.25">
      <c r="B340" t="s">
        <v>887</v>
      </c>
      <c r="C340" s="9" t="s">
        <v>888</v>
      </c>
      <c r="D340" s="9" t="s">
        <v>242</v>
      </c>
      <c r="E340" s="9" t="s">
        <v>84</v>
      </c>
      <c r="F340" t="s">
        <v>1658</v>
      </c>
      <c r="G340">
        <v>27</v>
      </c>
      <c r="H340" s="11">
        <v>974000</v>
      </c>
      <c r="I340" s="10">
        <v>3.0216264202357102</v>
      </c>
    </row>
    <row r="341" spans="2:9" x14ac:dyDescent="0.25">
      <c r="B341" t="s">
        <v>739</v>
      </c>
      <c r="C341" s="9" t="s">
        <v>740</v>
      </c>
      <c r="D341" s="9" t="s">
        <v>53</v>
      </c>
      <c r="E341" s="9" t="s">
        <v>84</v>
      </c>
      <c r="F341" t="s">
        <v>1668</v>
      </c>
      <c r="G341">
        <v>26</v>
      </c>
      <c r="H341" s="11">
        <v>1374000</v>
      </c>
      <c r="I341" s="10">
        <v>3.0202451408834299</v>
      </c>
    </row>
    <row r="342" spans="2:9" x14ac:dyDescent="0.25">
      <c r="B342" t="s">
        <v>719</v>
      </c>
      <c r="C342" s="9" t="s">
        <v>720</v>
      </c>
      <c r="D342" s="9" t="s">
        <v>40</v>
      </c>
      <c r="E342" s="9" t="s">
        <v>43</v>
      </c>
      <c r="F342" t="s">
        <v>1668</v>
      </c>
      <c r="G342">
        <v>28</v>
      </c>
      <c r="H342" s="11">
        <v>1755000</v>
      </c>
      <c r="I342" s="10">
        <v>3.0082659888513299</v>
      </c>
    </row>
    <row r="343" spans="2:9" x14ac:dyDescent="0.25">
      <c r="B343" t="s">
        <v>789</v>
      </c>
      <c r="C343" s="9" t="s">
        <v>790</v>
      </c>
      <c r="D343" s="9" t="s">
        <v>239</v>
      </c>
      <c r="E343" s="9" t="s">
        <v>43</v>
      </c>
      <c r="F343" t="s">
        <v>1668</v>
      </c>
      <c r="G343">
        <v>29</v>
      </c>
      <c r="H343" s="11">
        <v>983000</v>
      </c>
      <c r="I343" s="10">
        <v>2.9912443379907998</v>
      </c>
    </row>
    <row r="344" spans="2:9" x14ac:dyDescent="0.25">
      <c r="B344" t="s">
        <v>759</v>
      </c>
      <c r="C344" s="9" t="s">
        <v>760</v>
      </c>
      <c r="D344" s="9" t="s">
        <v>104</v>
      </c>
      <c r="E344" s="9" t="s">
        <v>30</v>
      </c>
      <c r="F344" t="s">
        <v>1668</v>
      </c>
      <c r="G344">
        <v>32</v>
      </c>
      <c r="H344" s="11">
        <v>1864000</v>
      </c>
      <c r="I344" s="10">
        <v>2.98918047365592</v>
      </c>
    </row>
    <row r="345" spans="2:9" x14ac:dyDescent="0.25">
      <c r="B345" t="s">
        <v>725</v>
      </c>
      <c r="C345" s="9" t="s">
        <v>726</v>
      </c>
      <c r="D345" s="9" t="s">
        <v>181</v>
      </c>
      <c r="E345" s="9" t="s">
        <v>84</v>
      </c>
      <c r="F345" t="s">
        <v>1654</v>
      </c>
      <c r="G345">
        <v>24</v>
      </c>
      <c r="H345" s="11">
        <v>1803000</v>
      </c>
      <c r="I345" s="10">
        <v>2.98792825794267</v>
      </c>
    </row>
    <row r="346" spans="2:9" x14ac:dyDescent="0.25">
      <c r="B346" t="s">
        <v>583</v>
      </c>
      <c r="C346" s="9" t="s">
        <v>584</v>
      </c>
      <c r="D346" s="9" t="s">
        <v>24</v>
      </c>
      <c r="E346" s="9" t="s">
        <v>43</v>
      </c>
      <c r="F346" t="s">
        <v>1668</v>
      </c>
      <c r="G346">
        <v>27</v>
      </c>
      <c r="H346" s="11">
        <v>1133000</v>
      </c>
      <c r="I346" s="10">
        <v>2.9831298453577699</v>
      </c>
    </row>
    <row r="347" spans="2:9" x14ac:dyDescent="0.25">
      <c r="B347" t="s">
        <v>599</v>
      </c>
      <c r="C347" s="9" t="s">
        <v>600</v>
      </c>
      <c r="D347" s="9" t="s">
        <v>236</v>
      </c>
      <c r="E347" s="9" t="s">
        <v>43</v>
      </c>
      <c r="F347" t="s">
        <v>1668</v>
      </c>
      <c r="G347">
        <v>31</v>
      </c>
      <c r="H347" s="11">
        <v>1707000</v>
      </c>
      <c r="I347" s="10">
        <v>2.98108588344193</v>
      </c>
    </row>
    <row r="348" spans="2:9" x14ac:dyDescent="0.25">
      <c r="B348" t="s">
        <v>603</v>
      </c>
      <c r="C348" s="9" t="s">
        <v>604</v>
      </c>
      <c r="D348" s="9" t="s">
        <v>16</v>
      </c>
      <c r="E348" s="9" t="s">
        <v>84</v>
      </c>
      <c r="F348" t="s">
        <v>1665</v>
      </c>
      <c r="G348">
        <v>32</v>
      </c>
      <c r="H348" s="11">
        <v>1342000</v>
      </c>
      <c r="I348" s="10">
        <v>2.9753882202434201</v>
      </c>
    </row>
    <row r="349" spans="2:9" x14ac:dyDescent="0.25">
      <c r="B349" t="s">
        <v>645</v>
      </c>
      <c r="C349" s="9" t="s">
        <v>646</v>
      </c>
      <c r="D349" s="9" t="s">
        <v>131</v>
      </c>
      <c r="E349" s="9" t="s">
        <v>84</v>
      </c>
      <c r="F349" t="s">
        <v>1668</v>
      </c>
      <c r="G349">
        <v>29</v>
      </c>
      <c r="H349" s="11">
        <v>1534000</v>
      </c>
      <c r="I349" s="10">
        <v>2.9746163624924802</v>
      </c>
    </row>
    <row r="350" spans="2:9" x14ac:dyDescent="0.25">
      <c r="B350" t="s">
        <v>843</v>
      </c>
      <c r="C350" s="9" t="s">
        <v>844</v>
      </c>
      <c r="D350" s="9" t="s">
        <v>170</v>
      </c>
      <c r="E350" s="9" t="s">
        <v>17</v>
      </c>
      <c r="F350" t="s">
        <v>1668</v>
      </c>
      <c r="G350">
        <v>33</v>
      </c>
      <c r="H350" s="11">
        <v>1840000</v>
      </c>
      <c r="I350" s="10">
        <v>2.9682139891052701</v>
      </c>
    </row>
    <row r="351" spans="2:9" x14ac:dyDescent="0.25">
      <c r="B351" t="s">
        <v>781</v>
      </c>
      <c r="C351" s="9" t="s">
        <v>782</v>
      </c>
      <c r="D351" s="9" t="s">
        <v>33</v>
      </c>
      <c r="E351" s="9" t="s">
        <v>84</v>
      </c>
      <c r="F351" t="s">
        <v>1668</v>
      </c>
      <c r="G351">
        <v>29</v>
      </c>
      <c r="H351" s="11">
        <v>1612000</v>
      </c>
      <c r="I351" s="10">
        <v>2.9675371970352602</v>
      </c>
    </row>
    <row r="352" spans="2:9" x14ac:dyDescent="0.25">
      <c r="B352" t="s">
        <v>573</v>
      </c>
      <c r="C352" s="9" t="s">
        <v>574</v>
      </c>
      <c r="D352" s="9" t="s">
        <v>75</v>
      </c>
      <c r="E352" s="9" t="s">
        <v>21</v>
      </c>
      <c r="F352" t="s">
        <v>1668</v>
      </c>
      <c r="G352">
        <v>28</v>
      </c>
      <c r="H352" s="11">
        <v>750000</v>
      </c>
      <c r="I352" s="10">
        <v>2.9671352225432401</v>
      </c>
    </row>
    <row r="353" spans="2:9" x14ac:dyDescent="0.25">
      <c r="B353" t="s">
        <v>625</v>
      </c>
      <c r="C353" s="9" t="s">
        <v>626</v>
      </c>
      <c r="D353" s="9" t="s">
        <v>131</v>
      </c>
      <c r="E353" s="9" t="s">
        <v>84</v>
      </c>
      <c r="F353" t="s">
        <v>1668</v>
      </c>
      <c r="G353">
        <v>35</v>
      </c>
      <c r="H353" s="11">
        <v>1556000</v>
      </c>
      <c r="I353" s="10">
        <v>2.9408845002230901</v>
      </c>
    </row>
    <row r="354" spans="2:9" x14ac:dyDescent="0.25">
      <c r="B354" t="s">
        <v>509</v>
      </c>
      <c r="C354" s="9" t="s">
        <v>510</v>
      </c>
      <c r="D354" s="9" t="s">
        <v>150</v>
      </c>
      <c r="E354" s="9" t="s">
        <v>84</v>
      </c>
      <c r="F354" t="s">
        <v>1665</v>
      </c>
      <c r="G354">
        <v>23</v>
      </c>
      <c r="H354" s="11">
        <v>1184000</v>
      </c>
      <c r="I354" s="10">
        <v>2.9328716432347801</v>
      </c>
    </row>
    <row r="355" spans="2:9" x14ac:dyDescent="0.25">
      <c r="B355" t="s">
        <v>1320</v>
      </c>
      <c r="C355" s="9" t="s">
        <v>1321</v>
      </c>
      <c r="D355" s="9" t="s">
        <v>170</v>
      </c>
      <c r="E355" s="9" t="s">
        <v>17</v>
      </c>
      <c r="F355" t="s">
        <v>1668</v>
      </c>
      <c r="G355">
        <v>30</v>
      </c>
      <c r="H355" s="11">
        <v>1657000</v>
      </c>
      <c r="I355" s="10">
        <v>2.9303273383649602</v>
      </c>
    </row>
    <row r="356" spans="2:9" x14ac:dyDescent="0.25">
      <c r="B356" t="s">
        <v>541</v>
      </c>
      <c r="C356" s="9" t="s">
        <v>542</v>
      </c>
      <c r="D356" s="9" t="s">
        <v>40</v>
      </c>
      <c r="E356" s="9" t="s">
        <v>84</v>
      </c>
      <c r="F356" t="s">
        <v>1655</v>
      </c>
      <c r="G356">
        <v>25</v>
      </c>
      <c r="H356" s="11">
        <v>1624000</v>
      </c>
      <c r="I356" s="10">
        <v>2.92986956112115</v>
      </c>
    </row>
    <row r="357" spans="2:9" x14ac:dyDescent="0.25">
      <c r="B357" t="s">
        <v>897</v>
      </c>
      <c r="C357" s="9" t="s">
        <v>898</v>
      </c>
      <c r="D357" s="9" t="s">
        <v>75</v>
      </c>
      <c r="E357" s="9" t="s">
        <v>21</v>
      </c>
      <c r="F357" t="s">
        <v>1668</v>
      </c>
      <c r="G357">
        <v>31</v>
      </c>
      <c r="H357" s="11">
        <v>1569000</v>
      </c>
      <c r="I357" s="10">
        <v>2.9252182081263398</v>
      </c>
    </row>
    <row r="358" spans="2:9" x14ac:dyDescent="0.25">
      <c r="B358" t="s">
        <v>777</v>
      </c>
      <c r="C358" s="9" t="s">
        <v>778</v>
      </c>
      <c r="D358" s="9" t="s">
        <v>87</v>
      </c>
      <c r="E358" s="9" t="s">
        <v>21</v>
      </c>
      <c r="F358" t="s">
        <v>1668</v>
      </c>
      <c r="G358">
        <v>29</v>
      </c>
      <c r="H358" s="11">
        <v>1668000</v>
      </c>
      <c r="I358" s="10">
        <v>2.9043459274069501</v>
      </c>
    </row>
    <row r="359" spans="2:9" x14ac:dyDescent="0.25">
      <c r="B359" t="s">
        <v>695</v>
      </c>
      <c r="C359" s="9" t="s">
        <v>696</v>
      </c>
      <c r="D359" s="9" t="s">
        <v>139</v>
      </c>
      <c r="E359" s="9" t="s">
        <v>17</v>
      </c>
      <c r="F359" t="s">
        <v>1668</v>
      </c>
      <c r="G359">
        <v>28</v>
      </c>
      <c r="H359" s="11">
        <v>750000</v>
      </c>
      <c r="I359" s="10">
        <v>2.90129069390568</v>
      </c>
    </row>
    <row r="360" spans="2:9" x14ac:dyDescent="0.25">
      <c r="B360" t="s">
        <v>697</v>
      </c>
      <c r="C360" s="9" t="s">
        <v>698</v>
      </c>
      <c r="D360" s="9" t="s">
        <v>81</v>
      </c>
      <c r="E360" s="9" t="s">
        <v>84</v>
      </c>
      <c r="F360" t="s">
        <v>1668</v>
      </c>
      <c r="G360">
        <v>24</v>
      </c>
      <c r="H360" s="11">
        <v>1438000</v>
      </c>
      <c r="I360" s="10">
        <v>2.8997873279276098</v>
      </c>
    </row>
    <row r="361" spans="2:9" x14ac:dyDescent="0.25">
      <c r="B361" t="s">
        <v>927</v>
      </c>
      <c r="C361" s="9" t="s">
        <v>928</v>
      </c>
      <c r="D361" s="9" t="s">
        <v>46</v>
      </c>
      <c r="E361" s="9" t="s">
        <v>84</v>
      </c>
      <c r="F361" t="s">
        <v>1668</v>
      </c>
      <c r="G361">
        <v>26</v>
      </c>
      <c r="H361" s="11">
        <v>1128000</v>
      </c>
      <c r="I361" s="10">
        <v>2.8975595557470899</v>
      </c>
    </row>
    <row r="362" spans="2:9" x14ac:dyDescent="0.25">
      <c r="B362" t="s">
        <v>1065</v>
      </c>
      <c r="C362" s="9" t="s">
        <v>1066</v>
      </c>
      <c r="D362" s="9" t="s">
        <v>75</v>
      </c>
      <c r="E362" s="9" t="s">
        <v>84</v>
      </c>
      <c r="F362" t="s">
        <v>1668</v>
      </c>
      <c r="G362">
        <v>28</v>
      </c>
      <c r="H362" s="11">
        <v>1218000</v>
      </c>
      <c r="I362" s="10">
        <v>2.8957842679395802</v>
      </c>
    </row>
    <row r="363" spans="2:9" x14ac:dyDescent="0.25">
      <c r="B363" t="s">
        <v>907</v>
      </c>
      <c r="C363" s="9" t="s">
        <v>908</v>
      </c>
      <c r="D363" s="9" t="s">
        <v>72</v>
      </c>
      <c r="E363" s="9" t="s">
        <v>84</v>
      </c>
      <c r="F363" t="s">
        <v>1668</v>
      </c>
      <c r="G363">
        <v>31</v>
      </c>
      <c r="H363" s="11">
        <v>1105000</v>
      </c>
      <c r="I363" s="10">
        <v>2.89017810947986</v>
      </c>
    </row>
    <row r="364" spans="2:9" x14ac:dyDescent="0.25">
      <c r="B364" t="s">
        <v>841</v>
      </c>
      <c r="C364" s="9" t="s">
        <v>842</v>
      </c>
      <c r="D364" s="9" t="s">
        <v>36</v>
      </c>
      <c r="E364" s="9" t="s">
        <v>10</v>
      </c>
      <c r="F364" t="s">
        <v>1668</v>
      </c>
      <c r="G364">
        <v>30</v>
      </c>
      <c r="H364" s="11">
        <v>1166000</v>
      </c>
      <c r="I364" s="10">
        <v>2.8657956798602799</v>
      </c>
    </row>
    <row r="365" spans="2:9" x14ac:dyDescent="0.25">
      <c r="B365" t="s">
        <v>1053</v>
      </c>
      <c r="C365" s="9" t="s">
        <v>1054</v>
      </c>
      <c r="D365" s="9" t="s">
        <v>9</v>
      </c>
      <c r="E365" s="9" t="s">
        <v>37</v>
      </c>
      <c r="F365" t="s">
        <v>1668</v>
      </c>
      <c r="G365">
        <v>26</v>
      </c>
      <c r="H365" s="11">
        <v>1460000</v>
      </c>
      <c r="I365" s="10">
        <v>2.8657029149838702</v>
      </c>
    </row>
    <row r="366" spans="2:9" x14ac:dyDescent="0.25">
      <c r="B366" t="s">
        <v>773</v>
      </c>
      <c r="C366" s="9" t="s">
        <v>774</v>
      </c>
      <c r="D366" s="9" t="s">
        <v>242</v>
      </c>
      <c r="E366" s="9" t="s">
        <v>84</v>
      </c>
      <c r="F366" t="s">
        <v>1668</v>
      </c>
      <c r="G366">
        <v>33</v>
      </c>
      <c r="H366" s="11">
        <v>750000</v>
      </c>
      <c r="I366" s="10">
        <v>2.8560848019660301</v>
      </c>
    </row>
    <row r="367" spans="2:9" x14ac:dyDescent="0.25">
      <c r="B367" t="s">
        <v>829</v>
      </c>
      <c r="C367" s="9" t="s">
        <v>830</v>
      </c>
      <c r="D367" s="9" t="s">
        <v>139</v>
      </c>
      <c r="E367" s="9" t="s">
        <v>30</v>
      </c>
      <c r="F367" t="s">
        <v>1668</v>
      </c>
      <c r="G367">
        <v>24</v>
      </c>
      <c r="H367" s="11">
        <v>1401000</v>
      </c>
      <c r="I367" s="10">
        <v>2.8475557131967499</v>
      </c>
    </row>
    <row r="368" spans="2:9" x14ac:dyDescent="0.25">
      <c r="B368" t="s">
        <v>667</v>
      </c>
      <c r="C368" s="9" t="s">
        <v>668</v>
      </c>
      <c r="D368" s="9" t="s">
        <v>27</v>
      </c>
      <c r="E368" s="9" t="s">
        <v>84</v>
      </c>
      <c r="F368" t="s">
        <v>1668</v>
      </c>
      <c r="G368">
        <v>29</v>
      </c>
      <c r="H368" s="11">
        <v>1457000</v>
      </c>
      <c r="I368" s="10">
        <v>2.83729431428752</v>
      </c>
    </row>
    <row r="369" spans="2:9" x14ac:dyDescent="0.25">
      <c r="B369" t="s">
        <v>965</v>
      </c>
      <c r="C369" s="9" t="s">
        <v>966</v>
      </c>
      <c r="D369" s="9" t="s">
        <v>75</v>
      </c>
      <c r="E369" s="9" t="s">
        <v>21</v>
      </c>
      <c r="F369" t="s">
        <v>1659</v>
      </c>
      <c r="G369">
        <v>36</v>
      </c>
      <c r="H369" s="11">
        <v>1946000</v>
      </c>
      <c r="I369" s="10">
        <v>2.83108926998074</v>
      </c>
    </row>
    <row r="370" spans="2:9" x14ac:dyDescent="0.25">
      <c r="B370" t="s">
        <v>1537</v>
      </c>
      <c r="C370" s="9" t="s">
        <v>1599</v>
      </c>
      <c r="D370" s="9" t="s">
        <v>139</v>
      </c>
      <c r="E370" s="9" t="s">
        <v>84</v>
      </c>
      <c r="F370" t="s">
        <v>1668</v>
      </c>
      <c r="G370">
        <v>25</v>
      </c>
      <c r="H370" s="11">
        <v>1337000</v>
      </c>
      <c r="I370" s="10">
        <v>2.8304418367535198</v>
      </c>
    </row>
    <row r="371" spans="2:9" x14ac:dyDescent="0.25">
      <c r="B371" t="s">
        <v>635</v>
      </c>
      <c r="C371" s="9" t="s">
        <v>636</v>
      </c>
      <c r="D371" s="9" t="s">
        <v>78</v>
      </c>
      <c r="E371" s="9" t="s">
        <v>37</v>
      </c>
      <c r="F371" t="s">
        <v>1668</v>
      </c>
      <c r="G371">
        <v>33</v>
      </c>
      <c r="H371" s="11">
        <v>1261000</v>
      </c>
      <c r="I371" s="10">
        <v>2.8217865739927399</v>
      </c>
    </row>
    <row r="372" spans="2:9" x14ac:dyDescent="0.25">
      <c r="B372" t="s">
        <v>1257</v>
      </c>
      <c r="C372" s="9" t="s">
        <v>1258</v>
      </c>
      <c r="D372" s="9" t="s">
        <v>242</v>
      </c>
      <c r="E372" s="9" t="s">
        <v>21</v>
      </c>
      <c r="F372" t="s">
        <v>1668</v>
      </c>
      <c r="G372">
        <v>28</v>
      </c>
      <c r="H372" s="11">
        <v>2044000</v>
      </c>
      <c r="I372" s="10">
        <v>2.8129478367307201</v>
      </c>
    </row>
    <row r="373" spans="2:9" x14ac:dyDescent="0.25">
      <c r="B373" t="s">
        <v>693</v>
      </c>
      <c r="C373" s="9" t="s">
        <v>694</v>
      </c>
      <c r="D373" s="9" t="s">
        <v>72</v>
      </c>
      <c r="E373" s="9" t="s">
        <v>84</v>
      </c>
      <c r="F373" t="s">
        <v>1662</v>
      </c>
      <c r="G373">
        <v>29</v>
      </c>
      <c r="H373" s="11">
        <v>750000</v>
      </c>
      <c r="I373" s="10">
        <v>2.8086062787341302</v>
      </c>
    </row>
    <row r="374" spans="2:9" x14ac:dyDescent="0.25">
      <c r="B374" t="s">
        <v>621</v>
      </c>
      <c r="C374" s="9" t="s">
        <v>622</v>
      </c>
      <c r="D374" s="9" t="s">
        <v>150</v>
      </c>
      <c r="E374" s="9" t="s">
        <v>21</v>
      </c>
      <c r="F374" t="s">
        <v>1668</v>
      </c>
      <c r="G374">
        <v>33</v>
      </c>
      <c r="H374" s="11">
        <v>1550000</v>
      </c>
      <c r="I374" s="10">
        <v>2.8013992659096898</v>
      </c>
    </row>
    <row r="375" spans="2:9" x14ac:dyDescent="0.25">
      <c r="B375" t="s">
        <v>885</v>
      </c>
      <c r="C375" s="9" t="s">
        <v>886</v>
      </c>
      <c r="D375" s="9" t="s">
        <v>75</v>
      </c>
      <c r="E375" s="9" t="s">
        <v>84</v>
      </c>
      <c r="F375" t="s">
        <v>1660</v>
      </c>
      <c r="G375">
        <v>30</v>
      </c>
      <c r="H375" s="11">
        <v>1342000</v>
      </c>
      <c r="I375" s="10">
        <v>2.7944012279163801</v>
      </c>
    </row>
    <row r="376" spans="2:9" x14ac:dyDescent="0.25">
      <c r="B376" t="s">
        <v>935</v>
      </c>
      <c r="C376" s="9" t="s">
        <v>936</v>
      </c>
      <c r="D376" s="9" t="s">
        <v>107</v>
      </c>
      <c r="E376" s="9" t="s">
        <v>84</v>
      </c>
      <c r="F376" t="s">
        <v>1668</v>
      </c>
      <c r="G376">
        <v>34</v>
      </c>
      <c r="H376" s="11">
        <v>1037000</v>
      </c>
      <c r="I376" s="10">
        <v>2.7845096842289099</v>
      </c>
    </row>
    <row r="377" spans="2:9" x14ac:dyDescent="0.25">
      <c r="B377" t="s">
        <v>555</v>
      </c>
      <c r="C377" s="9" t="s">
        <v>556</v>
      </c>
      <c r="D377" s="9" t="s">
        <v>78</v>
      </c>
      <c r="E377" s="9" t="s">
        <v>21</v>
      </c>
      <c r="F377" t="s">
        <v>1668</v>
      </c>
      <c r="G377">
        <v>31</v>
      </c>
      <c r="H377" s="11">
        <v>750000</v>
      </c>
      <c r="I377" s="10">
        <v>2.7773313857600499</v>
      </c>
    </row>
    <row r="378" spans="2:9" x14ac:dyDescent="0.25">
      <c r="B378" t="s">
        <v>827</v>
      </c>
      <c r="C378" s="9" t="s">
        <v>828</v>
      </c>
      <c r="D378" s="9" t="s">
        <v>78</v>
      </c>
      <c r="E378" s="9" t="s">
        <v>84</v>
      </c>
      <c r="F378" t="s">
        <v>1668</v>
      </c>
      <c r="G378">
        <v>30</v>
      </c>
      <c r="H378" s="11">
        <v>1316000</v>
      </c>
      <c r="I378" s="10">
        <v>2.7721576101113601</v>
      </c>
    </row>
    <row r="379" spans="2:9" x14ac:dyDescent="0.25">
      <c r="B379" t="s">
        <v>851</v>
      </c>
      <c r="C379" s="9" t="s">
        <v>852</v>
      </c>
      <c r="D379" s="9" t="s">
        <v>40</v>
      </c>
      <c r="E379" s="9" t="s">
        <v>43</v>
      </c>
      <c r="F379" t="s">
        <v>1668</v>
      </c>
      <c r="G379">
        <v>28</v>
      </c>
      <c r="H379" s="11">
        <v>1434000</v>
      </c>
      <c r="I379" s="10">
        <v>2.7701790868243101</v>
      </c>
    </row>
    <row r="380" spans="2:9" x14ac:dyDescent="0.25">
      <c r="B380" t="s">
        <v>809</v>
      </c>
      <c r="C380" s="9" t="s">
        <v>810</v>
      </c>
      <c r="D380" s="9" t="s">
        <v>27</v>
      </c>
      <c r="E380" s="9" t="s">
        <v>84</v>
      </c>
      <c r="F380" t="s">
        <v>1668</v>
      </c>
      <c r="G380">
        <v>36</v>
      </c>
      <c r="H380" s="11">
        <v>1646000</v>
      </c>
      <c r="I380" s="10">
        <v>2.76599073579162</v>
      </c>
    </row>
    <row r="381" spans="2:9" x14ac:dyDescent="0.25">
      <c r="B381" t="s">
        <v>1033</v>
      </c>
      <c r="C381" s="9" t="s">
        <v>1034</v>
      </c>
      <c r="D381" s="9" t="s">
        <v>101</v>
      </c>
      <c r="E381" s="9" t="s">
        <v>10</v>
      </c>
      <c r="F381" t="s">
        <v>1668</v>
      </c>
      <c r="G381">
        <v>27</v>
      </c>
      <c r="H381" s="11">
        <v>1243000</v>
      </c>
      <c r="I381" s="10">
        <v>2.7512213621395101</v>
      </c>
    </row>
    <row r="382" spans="2:9" x14ac:dyDescent="0.25">
      <c r="B382" t="s">
        <v>769</v>
      </c>
      <c r="C382" s="9" t="s">
        <v>1607</v>
      </c>
      <c r="D382" s="9" t="s">
        <v>9</v>
      </c>
      <c r="E382" s="9" t="s">
        <v>21</v>
      </c>
      <c r="F382" t="s">
        <v>1668</v>
      </c>
      <c r="G382">
        <v>29</v>
      </c>
      <c r="H382" s="11">
        <v>1280000</v>
      </c>
      <c r="I382" s="10">
        <v>2.7474528227158999</v>
      </c>
    </row>
    <row r="383" spans="2:9" x14ac:dyDescent="0.25">
      <c r="B383" t="s">
        <v>1318</v>
      </c>
      <c r="C383" s="9" t="s">
        <v>1319</v>
      </c>
      <c r="D383" s="9" t="s">
        <v>107</v>
      </c>
      <c r="E383" s="9" t="s">
        <v>17</v>
      </c>
      <c r="F383" t="s">
        <v>1668</v>
      </c>
      <c r="G383">
        <v>28</v>
      </c>
      <c r="H383" s="11">
        <v>1295000</v>
      </c>
      <c r="I383" s="10">
        <v>2.7409204842660402</v>
      </c>
    </row>
    <row r="384" spans="2:9" x14ac:dyDescent="0.25">
      <c r="B384" t="s">
        <v>685</v>
      </c>
      <c r="C384" s="9" t="s">
        <v>686</v>
      </c>
      <c r="D384" s="9" t="s">
        <v>87</v>
      </c>
      <c r="E384" s="9" t="s">
        <v>17</v>
      </c>
      <c r="F384" t="s">
        <v>1668</v>
      </c>
      <c r="G384">
        <v>36</v>
      </c>
      <c r="H384" s="11">
        <v>1507000</v>
      </c>
      <c r="I384" s="10">
        <v>2.7391658623802999</v>
      </c>
    </row>
    <row r="385" spans="2:9" x14ac:dyDescent="0.25">
      <c r="B385" t="s">
        <v>863</v>
      </c>
      <c r="C385" s="9" t="s">
        <v>864</v>
      </c>
      <c r="D385" s="9" t="s">
        <v>27</v>
      </c>
      <c r="E385" s="9" t="s">
        <v>84</v>
      </c>
      <c r="F385" t="s">
        <v>1668</v>
      </c>
      <c r="G385">
        <v>28</v>
      </c>
      <c r="H385" s="11">
        <v>1374000</v>
      </c>
      <c r="I385" s="10">
        <v>2.7286603802745302</v>
      </c>
    </row>
    <row r="386" spans="2:9" x14ac:dyDescent="0.25">
      <c r="B386" t="s">
        <v>565</v>
      </c>
      <c r="C386" s="9" t="s">
        <v>566</v>
      </c>
      <c r="D386" s="9" t="s">
        <v>87</v>
      </c>
      <c r="E386" s="9" t="s">
        <v>37</v>
      </c>
      <c r="F386" t="s">
        <v>1668</v>
      </c>
      <c r="G386">
        <v>26</v>
      </c>
      <c r="H386" s="11">
        <v>1456000</v>
      </c>
      <c r="I386" s="10">
        <v>2.72812697638921</v>
      </c>
    </row>
    <row r="387" spans="2:9" x14ac:dyDescent="0.25">
      <c r="B387" t="s">
        <v>1049</v>
      </c>
      <c r="C387" s="9" t="s">
        <v>1050</v>
      </c>
      <c r="D387" s="9" t="s">
        <v>81</v>
      </c>
      <c r="E387" s="9" t="s">
        <v>84</v>
      </c>
      <c r="F387" t="s">
        <v>1668</v>
      </c>
      <c r="G387">
        <v>34</v>
      </c>
      <c r="H387" s="11">
        <v>1242000</v>
      </c>
      <c r="I387" s="10">
        <v>2.7275328702530701</v>
      </c>
    </row>
    <row r="388" spans="2:9" x14ac:dyDescent="0.25">
      <c r="B388" t="s">
        <v>1542</v>
      </c>
      <c r="C388" s="9" t="s">
        <v>1609</v>
      </c>
      <c r="D388" s="9" t="s">
        <v>87</v>
      </c>
      <c r="E388" s="9" t="s">
        <v>43</v>
      </c>
      <c r="F388" t="s">
        <v>1668</v>
      </c>
      <c r="G388">
        <v>25</v>
      </c>
      <c r="H388" s="11">
        <v>1228000</v>
      </c>
      <c r="I388" s="10">
        <v>2.72296343716171</v>
      </c>
    </row>
    <row r="389" spans="2:9" x14ac:dyDescent="0.25">
      <c r="B389" t="s">
        <v>833</v>
      </c>
      <c r="C389" s="9" t="s">
        <v>834</v>
      </c>
      <c r="D389" s="9" t="s">
        <v>131</v>
      </c>
      <c r="E389" s="9" t="s">
        <v>37</v>
      </c>
      <c r="F389" t="s">
        <v>1668</v>
      </c>
      <c r="G389">
        <v>31</v>
      </c>
      <c r="H389" s="11">
        <v>1434000</v>
      </c>
      <c r="I389" s="10">
        <v>2.7225206504718602</v>
      </c>
    </row>
    <row r="390" spans="2:9" x14ac:dyDescent="0.25">
      <c r="B390" t="s">
        <v>655</v>
      </c>
      <c r="C390" s="9" t="s">
        <v>656</v>
      </c>
      <c r="D390" s="9" t="s">
        <v>128</v>
      </c>
      <c r="E390" s="9" t="s">
        <v>84</v>
      </c>
      <c r="F390" t="s">
        <v>1668</v>
      </c>
      <c r="G390">
        <v>27</v>
      </c>
      <c r="H390" s="11">
        <v>1434000</v>
      </c>
      <c r="I390" s="10">
        <v>2.7163946793471898</v>
      </c>
    </row>
    <row r="391" spans="2:9" x14ac:dyDescent="0.25">
      <c r="B391" t="s">
        <v>1127</v>
      </c>
      <c r="C391" s="9" t="s">
        <v>1128</v>
      </c>
      <c r="D391" s="9" t="s">
        <v>107</v>
      </c>
      <c r="E391" s="9" t="s">
        <v>30</v>
      </c>
      <c r="F391" t="s">
        <v>1668</v>
      </c>
      <c r="G391">
        <v>26</v>
      </c>
      <c r="H391" s="11">
        <v>1464000</v>
      </c>
      <c r="I391" s="10">
        <v>2.7160518307900898</v>
      </c>
    </row>
    <row r="392" spans="2:9" x14ac:dyDescent="0.25">
      <c r="B392" t="s">
        <v>799</v>
      </c>
      <c r="C392" s="9" t="s">
        <v>800</v>
      </c>
      <c r="D392" s="9" t="s">
        <v>20</v>
      </c>
      <c r="E392" s="9" t="s">
        <v>43</v>
      </c>
      <c r="F392" t="s">
        <v>1668</v>
      </c>
      <c r="G392">
        <v>29</v>
      </c>
      <c r="H392" s="11">
        <v>1355000</v>
      </c>
      <c r="I392" s="10">
        <v>2.7126845974926099</v>
      </c>
    </row>
    <row r="393" spans="2:9" x14ac:dyDescent="0.25">
      <c r="B393" t="s">
        <v>1011</v>
      </c>
      <c r="C393" s="9" t="s">
        <v>1012</v>
      </c>
      <c r="D393" s="9" t="s">
        <v>53</v>
      </c>
      <c r="E393" s="9" t="s">
        <v>84</v>
      </c>
      <c r="F393" t="s">
        <v>1668</v>
      </c>
      <c r="G393">
        <v>31</v>
      </c>
      <c r="H393" s="11">
        <v>1620000</v>
      </c>
      <c r="I393" s="10">
        <v>2.6968696764893898</v>
      </c>
    </row>
    <row r="394" spans="2:9" x14ac:dyDescent="0.25">
      <c r="B394" t="s">
        <v>929</v>
      </c>
      <c r="C394" s="9" t="s">
        <v>930</v>
      </c>
      <c r="D394" s="9" t="s">
        <v>104</v>
      </c>
      <c r="E394" s="9" t="s">
        <v>84</v>
      </c>
      <c r="F394" t="s">
        <v>1668</v>
      </c>
      <c r="G394">
        <v>27</v>
      </c>
      <c r="H394" s="11">
        <v>1377000</v>
      </c>
      <c r="I394" s="10">
        <v>2.6931659293453798</v>
      </c>
    </row>
    <row r="395" spans="2:9" x14ac:dyDescent="0.25">
      <c r="B395" t="s">
        <v>631</v>
      </c>
      <c r="C395" s="9" t="s">
        <v>632</v>
      </c>
      <c r="D395" s="9" t="s">
        <v>78</v>
      </c>
      <c r="E395" s="9" t="s">
        <v>21</v>
      </c>
      <c r="F395" t="s">
        <v>1668</v>
      </c>
      <c r="G395">
        <v>24</v>
      </c>
      <c r="H395" s="11">
        <v>1264000</v>
      </c>
      <c r="I395" s="10">
        <v>2.6912639339664102</v>
      </c>
    </row>
    <row r="396" spans="2:9" x14ac:dyDescent="0.25">
      <c r="B396" t="s">
        <v>683</v>
      </c>
      <c r="C396" s="9" t="s">
        <v>684</v>
      </c>
      <c r="D396" s="9" t="s">
        <v>81</v>
      </c>
      <c r="E396" s="9" t="s">
        <v>21</v>
      </c>
      <c r="F396" t="s">
        <v>1668</v>
      </c>
      <c r="G396">
        <v>24</v>
      </c>
      <c r="H396" s="11">
        <v>750000</v>
      </c>
      <c r="I396" s="10">
        <v>2.67795849949922</v>
      </c>
    </row>
    <row r="397" spans="2:9" x14ac:dyDescent="0.25">
      <c r="B397" t="s">
        <v>811</v>
      </c>
      <c r="C397" s="9" t="s">
        <v>812</v>
      </c>
      <c r="D397" s="9" t="s">
        <v>78</v>
      </c>
      <c r="E397" s="9" t="s">
        <v>84</v>
      </c>
      <c r="F397" t="s">
        <v>1668</v>
      </c>
      <c r="G397">
        <v>31</v>
      </c>
      <c r="H397" s="11">
        <v>795000</v>
      </c>
      <c r="I397" s="10">
        <v>2.6735859251981702</v>
      </c>
    </row>
    <row r="398" spans="2:9" x14ac:dyDescent="0.25">
      <c r="B398" t="s">
        <v>665</v>
      </c>
      <c r="C398" s="9" t="s">
        <v>666</v>
      </c>
      <c r="D398" s="9" t="s">
        <v>81</v>
      </c>
      <c r="E398" s="9" t="s">
        <v>84</v>
      </c>
      <c r="F398" t="s">
        <v>1668</v>
      </c>
      <c r="G398">
        <v>29</v>
      </c>
      <c r="H398" s="11">
        <v>1041000</v>
      </c>
      <c r="I398" s="10">
        <v>2.66648388885943</v>
      </c>
    </row>
    <row r="399" spans="2:9" x14ac:dyDescent="0.25">
      <c r="B399" t="s">
        <v>1047</v>
      </c>
      <c r="C399" s="9" t="s">
        <v>1048</v>
      </c>
      <c r="D399" s="9" t="s">
        <v>239</v>
      </c>
      <c r="E399" s="9" t="s">
        <v>84</v>
      </c>
      <c r="F399" t="s">
        <v>1668</v>
      </c>
      <c r="G399">
        <v>36</v>
      </c>
      <c r="H399" s="11">
        <v>1525000</v>
      </c>
      <c r="I399" s="10">
        <v>2.6660567285352799</v>
      </c>
    </row>
    <row r="400" spans="2:9" x14ac:dyDescent="0.25">
      <c r="B400" t="s">
        <v>765</v>
      </c>
      <c r="C400" s="9" t="s">
        <v>766</v>
      </c>
      <c r="D400" s="9" t="s">
        <v>20</v>
      </c>
      <c r="E400" s="9" t="s">
        <v>10</v>
      </c>
      <c r="F400" t="s">
        <v>1668</v>
      </c>
      <c r="G400">
        <v>32</v>
      </c>
      <c r="H400" s="11">
        <v>1213000</v>
      </c>
      <c r="I400" s="10">
        <v>2.6566005609879699</v>
      </c>
    </row>
    <row r="401" spans="2:9" x14ac:dyDescent="0.25">
      <c r="B401" t="s">
        <v>895</v>
      </c>
      <c r="C401" s="9" t="s">
        <v>896</v>
      </c>
      <c r="D401" s="9" t="s">
        <v>33</v>
      </c>
      <c r="E401" s="9" t="s">
        <v>84</v>
      </c>
      <c r="F401" t="s">
        <v>1668</v>
      </c>
      <c r="G401">
        <v>31</v>
      </c>
      <c r="H401" s="11">
        <v>1220000</v>
      </c>
      <c r="I401" s="10">
        <v>2.6560062350762701</v>
      </c>
    </row>
    <row r="402" spans="2:9" x14ac:dyDescent="0.25">
      <c r="B402" t="s">
        <v>803</v>
      </c>
      <c r="C402" s="9" t="s">
        <v>804</v>
      </c>
      <c r="D402" s="9" t="s">
        <v>236</v>
      </c>
      <c r="E402" s="9" t="s">
        <v>10</v>
      </c>
      <c r="F402" t="s">
        <v>1668</v>
      </c>
      <c r="G402">
        <v>29</v>
      </c>
      <c r="H402" s="11">
        <v>1764000</v>
      </c>
      <c r="I402" s="10">
        <v>2.6549350457378398</v>
      </c>
    </row>
    <row r="403" spans="2:9" x14ac:dyDescent="0.25">
      <c r="B403" t="s">
        <v>1545</v>
      </c>
      <c r="C403" s="9" t="s">
        <v>1612</v>
      </c>
      <c r="D403" s="9" t="s">
        <v>27</v>
      </c>
      <c r="E403" s="9" t="s">
        <v>37</v>
      </c>
      <c r="F403" t="s">
        <v>1668</v>
      </c>
      <c r="G403">
        <v>26</v>
      </c>
      <c r="H403" s="11">
        <v>1050000</v>
      </c>
      <c r="I403" s="10">
        <v>2.6493327513098199</v>
      </c>
    </row>
    <row r="404" spans="2:9" x14ac:dyDescent="0.25">
      <c r="B404" t="s">
        <v>723</v>
      </c>
      <c r="C404" s="9" t="s">
        <v>724</v>
      </c>
      <c r="D404" s="9" t="s">
        <v>75</v>
      </c>
      <c r="E404" s="9" t="s">
        <v>30</v>
      </c>
      <c r="F404" t="s">
        <v>1668</v>
      </c>
      <c r="G404">
        <v>26</v>
      </c>
      <c r="H404" s="11">
        <v>1204000</v>
      </c>
      <c r="I404" s="10">
        <v>2.6432550520184899</v>
      </c>
    </row>
    <row r="405" spans="2:9" x14ac:dyDescent="0.25">
      <c r="B405" t="s">
        <v>877</v>
      </c>
      <c r="C405" s="9" t="s">
        <v>878</v>
      </c>
      <c r="D405" s="9" t="s">
        <v>139</v>
      </c>
      <c r="E405" s="9" t="s">
        <v>84</v>
      </c>
      <c r="F405" t="s">
        <v>1668</v>
      </c>
      <c r="G405">
        <v>27</v>
      </c>
      <c r="H405" s="11">
        <v>1051000</v>
      </c>
      <c r="I405" s="10">
        <v>2.6351639542169201</v>
      </c>
    </row>
    <row r="406" spans="2:9" x14ac:dyDescent="0.25">
      <c r="B406" t="s">
        <v>1085</v>
      </c>
      <c r="C406" s="9" t="s">
        <v>1086</v>
      </c>
      <c r="D406" s="9" t="s">
        <v>36</v>
      </c>
      <c r="E406" s="9" t="s">
        <v>84</v>
      </c>
      <c r="F406" t="s">
        <v>1668</v>
      </c>
      <c r="G406">
        <v>27</v>
      </c>
      <c r="H406" s="11">
        <v>1113000</v>
      </c>
      <c r="I406" s="10">
        <v>2.62537493347596</v>
      </c>
    </row>
    <row r="407" spans="2:9" x14ac:dyDescent="0.25">
      <c r="B407" t="s">
        <v>969</v>
      </c>
      <c r="C407" s="9" t="s">
        <v>970</v>
      </c>
      <c r="D407" s="9" t="s">
        <v>150</v>
      </c>
      <c r="E407" s="9" t="s">
        <v>10</v>
      </c>
      <c r="F407" t="s">
        <v>1668</v>
      </c>
      <c r="G407">
        <v>29</v>
      </c>
      <c r="H407" s="11">
        <v>1701000</v>
      </c>
      <c r="I407" s="10">
        <v>2.6247957805487001</v>
      </c>
    </row>
    <row r="408" spans="2:9" x14ac:dyDescent="0.25">
      <c r="B408" t="s">
        <v>1041</v>
      </c>
      <c r="C408" s="9" t="s">
        <v>1042</v>
      </c>
      <c r="D408" s="9" t="s">
        <v>170</v>
      </c>
      <c r="E408" s="9" t="s">
        <v>84</v>
      </c>
      <c r="F408" t="s">
        <v>1668</v>
      </c>
      <c r="G408">
        <v>29</v>
      </c>
      <c r="H408" s="11">
        <v>1314000</v>
      </c>
      <c r="I408" s="10">
        <v>2.6244039866492601</v>
      </c>
    </row>
    <row r="409" spans="2:9" x14ac:dyDescent="0.25">
      <c r="B409" t="s">
        <v>747</v>
      </c>
      <c r="C409" s="9" t="s">
        <v>748</v>
      </c>
      <c r="D409" s="9" t="s">
        <v>9</v>
      </c>
      <c r="E409" s="9" t="s">
        <v>37</v>
      </c>
      <c r="F409" t="s">
        <v>1668</v>
      </c>
      <c r="G409">
        <v>25</v>
      </c>
      <c r="H409" s="11">
        <v>1164000</v>
      </c>
      <c r="I409" s="10">
        <v>2.6239664699748202</v>
      </c>
    </row>
    <row r="410" spans="2:9" x14ac:dyDescent="0.25">
      <c r="B410" t="s">
        <v>643</v>
      </c>
      <c r="C410" s="9" t="s">
        <v>644</v>
      </c>
      <c r="D410" s="9" t="s">
        <v>87</v>
      </c>
      <c r="E410" s="9" t="s">
        <v>84</v>
      </c>
      <c r="F410" t="s">
        <v>1668</v>
      </c>
      <c r="G410">
        <v>33</v>
      </c>
      <c r="H410" s="11">
        <v>934000</v>
      </c>
      <c r="I410" s="10">
        <v>2.62364465482707</v>
      </c>
    </row>
    <row r="411" spans="2:9" x14ac:dyDescent="0.25">
      <c r="B411" t="s">
        <v>951</v>
      </c>
      <c r="C411" s="9" t="s">
        <v>952</v>
      </c>
      <c r="D411" s="9" t="s">
        <v>239</v>
      </c>
      <c r="E411" s="9" t="s">
        <v>84</v>
      </c>
      <c r="F411" t="s">
        <v>1668</v>
      </c>
      <c r="G411">
        <v>28</v>
      </c>
      <c r="H411" s="11">
        <v>750000</v>
      </c>
      <c r="I411" s="10">
        <v>2.6160801427073599</v>
      </c>
    </row>
    <row r="412" spans="2:9" x14ac:dyDescent="0.25">
      <c r="B412" t="s">
        <v>861</v>
      </c>
      <c r="C412" s="9" t="s">
        <v>862</v>
      </c>
      <c r="D412" s="9" t="s">
        <v>104</v>
      </c>
      <c r="E412" s="9" t="s">
        <v>84</v>
      </c>
      <c r="F412" t="s">
        <v>1668</v>
      </c>
      <c r="G412">
        <v>32</v>
      </c>
      <c r="H412" s="11">
        <v>1353000</v>
      </c>
      <c r="I412" s="10">
        <v>2.6145065905696199</v>
      </c>
    </row>
    <row r="413" spans="2:9" x14ac:dyDescent="0.25">
      <c r="B413" t="s">
        <v>641</v>
      </c>
      <c r="C413" s="9" t="s">
        <v>642</v>
      </c>
      <c r="D413" s="9" t="s">
        <v>87</v>
      </c>
      <c r="E413" s="9" t="s">
        <v>84</v>
      </c>
      <c r="F413" t="s">
        <v>1668</v>
      </c>
      <c r="G413">
        <v>34</v>
      </c>
      <c r="H413" s="11">
        <v>1465000</v>
      </c>
      <c r="I413" s="10">
        <v>2.6131080350707898</v>
      </c>
    </row>
    <row r="414" spans="2:9" x14ac:dyDescent="0.25">
      <c r="B414" t="s">
        <v>839</v>
      </c>
      <c r="C414" s="9" t="s">
        <v>840</v>
      </c>
      <c r="D414" s="9" t="s">
        <v>236</v>
      </c>
      <c r="E414" s="9" t="s">
        <v>10</v>
      </c>
      <c r="F414" t="s">
        <v>1668</v>
      </c>
      <c r="G414">
        <v>25</v>
      </c>
      <c r="H414" s="11">
        <v>1188000</v>
      </c>
      <c r="I414" s="10">
        <v>2.6112296125750598</v>
      </c>
    </row>
    <row r="415" spans="2:9" x14ac:dyDescent="0.25">
      <c r="B415" t="s">
        <v>923</v>
      </c>
      <c r="C415" s="9" t="s">
        <v>924</v>
      </c>
      <c r="D415" s="9" t="s">
        <v>239</v>
      </c>
      <c r="E415" s="9" t="s">
        <v>43</v>
      </c>
      <c r="F415" t="s">
        <v>1668</v>
      </c>
      <c r="G415">
        <v>33</v>
      </c>
      <c r="H415" s="11">
        <v>1891000</v>
      </c>
      <c r="I415" s="10">
        <v>2.6079148402170298</v>
      </c>
    </row>
    <row r="416" spans="2:9" x14ac:dyDescent="0.25">
      <c r="B416" t="s">
        <v>743</v>
      </c>
      <c r="C416" s="9" t="s">
        <v>744</v>
      </c>
      <c r="D416" s="9" t="s">
        <v>36</v>
      </c>
      <c r="E416" s="9" t="s">
        <v>43</v>
      </c>
      <c r="F416" t="s">
        <v>1668</v>
      </c>
      <c r="G416">
        <v>29</v>
      </c>
      <c r="H416" s="11">
        <v>981000</v>
      </c>
      <c r="I416" s="10">
        <v>2.6075024815918901</v>
      </c>
    </row>
    <row r="417" spans="2:9" x14ac:dyDescent="0.25">
      <c r="B417" t="s">
        <v>955</v>
      </c>
      <c r="C417" s="9" t="s">
        <v>1626</v>
      </c>
      <c r="D417" s="9" t="s">
        <v>239</v>
      </c>
      <c r="E417" s="9" t="s">
        <v>17</v>
      </c>
      <c r="F417" t="s">
        <v>1668</v>
      </c>
      <c r="G417">
        <v>31</v>
      </c>
      <c r="H417" s="11">
        <v>750000</v>
      </c>
      <c r="I417" s="10">
        <v>2.60320253385505</v>
      </c>
    </row>
    <row r="418" spans="2:9" x14ac:dyDescent="0.25">
      <c r="B418" t="s">
        <v>837</v>
      </c>
      <c r="C418" s="9" t="s">
        <v>838</v>
      </c>
      <c r="D418" s="9" t="s">
        <v>46</v>
      </c>
      <c r="E418" s="9" t="s">
        <v>84</v>
      </c>
      <c r="F418" t="s">
        <v>1668</v>
      </c>
      <c r="G418">
        <v>35</v>
      </c>
      <c r="H418" s="11">
        <v>1296000</v>
      </c>
      <c r="I418" s="10">
        <v>2.60272698235514</v>
      </c>
    </row>
    <row r="419" spans="2:9" x14ac:dyDescent="0.25">
      <c r="B419" t="s">
        <v>1181</v>
      </c>
      <c r="C419" s="9" t="s">
        <v>1182</v>
      </c>
      <c r="D419" s="9" t="s">
        <v>53</v>
      </c>
      <c r="E419" s="9" t="s">
        <v>84</v>
      </c>
      <c r="F419" t="s">
        <v>1668</v>
      </c>
      <c r="G419">
        <v>32</v>
      </c>
      <c r="H419" s="11">
        <v>1431000</v>
      </c>
      <c r="I419" s="10">
        <v>2.6019534528574</v>
      </c>
    </row>
    <row r="420" spans="2:9" x14ac:dyDescent="0.25">
      <c r="B420" t="s">
        <v>1554</v>
      </c>
      <c r="C420" s="9" t="s">
        <v>1621</v>
      </c>
      <c r="D420" s="9" t="s">
        <v>128</v>
      </c>
      <c r="E420" s="9" t="s">
        <v>84</v>
      </c>
      <c r="F420" t="s">
        <v>1668</v>
      </c>
      <c r="G420">
        <v>29</v>
      </c>
      <c r="H420" s="11">
        <v>750000</v>
      </c>
      <c r="I420" s="10">
        <v>2.58553406074634</v>
      </c>
    </row>
    <row r="421" spans="2:9" x14ac:dyDescent="0.25">
      <c r="B421" t="s">
        <v>577</v>
      </c>
      <c r="C421" s="9" t="s">
        <v>578</v>
      </c>
      <c r="D421" s="9" t="s">
        <v>153</v>
      </c>
      <c r="E421" s="9" t="s">
        <v>43</v>
      </c>
      <c r="F421" t="s">
        <v>1668</v>
      </c>
      <c r="G421">
        <v>28</v>
      </c>
      <c r="H421" s="11">
        <v>987000</v>
      </c>
      <c r="I421" s="10">
        <v>2.58438982481935</v>
      </c>
    </row>
    <row r="422" spans="2:9" x14ac:dyDescent="0.25">
      <c r="B422" t="s">
        <v>1359</v>
      </c>
      <c r="C422" s="9" t="s">
        <v>1638</v>
      </c>
      <c r="D422" s="9" t="s">
        <v>16</v>
      </c>
      <c r="E422" s="9" t="s">
        <v>84</v>
      </c>
      <c r="F422" t="s">
        <v>1668</v>
      </c>
      <c r="G422">
        <v>21</v>
      </c>
      <c r="H422" s="11">
        <v>750000</v>
      </c>
      <c r="I422" s="10">
        <v>2.58375152274317</v>
      </c>
    </row>
    <row r="423" spans="2:9" x14ac:dyDescent="0.25">
      <c r="B423" t="s">
        <v>741</v>
      </c>
      <c r="C423" s="9" t="s">
        <v>742</v>
      </c>
      <c r="D423" s="9" t="s">
        <v>81</v>
      </c>
      <c r="E423" s="9" t="s">
        <v>10</v>
      </c>
      <c r="F423" t="s">
        <v>1668</v>
      </c>
      <c r="G423">
        <v>36</v>
      </c>
      <c r="H423" s="11">
        <v>1286000</v>
      </c>
      <c r="I423" s="10">
        <v>2.5760656137121298</v>
      </c>
    </row>
    <row r="424" spans="2:9" x14ac:dyDescent="0.25">
      <c r="B424" t="s">
        <v>501</v>
      </c>
      <c r="C424" s="9" t="s">
        <v>502</v>
      </c>
      <c r="D424" s="9" t="s">
        <v>20</v>
      </c>
      <c r="E424" s="9" t="s">
        <v>43</v>
      </c>
      <c r="F424" t="s">
        <v>1668</v>
      </c>
      <c r="G424">
        <v>28</v>
      </c>
      <c r="H424" s="11">
        <v>1084000</v>
      </c>
      <c r="I424" s="10">
        <v>2.5732747884050702</v>
      </c>
    </row>
    <row r="425" spans="2:9" x14ac:dyDescent="0.25">
      <c r="B425" t="s">
        <v>967</v>
      </c>
      <c r="C425" s="9" t="s">
        <v>968</v>
      </c>
      <c r="D425" s="9" t="s">
        <v>139</v>
      </c>
      <c r="E425" s="9" t="s">
        <v>30</v>
      </c>
      <c r="F425" t="s">
        <v>1668</v>
      </c>
      <c r="G425">
        <v>32</v>
      </c>
      <c r="H425" s="11">
        <v>1347000</v>
      </c>
      <c r="I425" s="10">
        <v>2.5663379110615501</v>
      </c>
    </row>
    <row r="426" spans="2:9" x14ac:dyDescent="0.25">
      <c r="B426" t="s">
        <v>873</v>
      </c>
      <c r="C426" s="9" t="s">
        <v>874</v>
      </c>
      <c r="D426" s="9" t="s">
        <v>117</v>
      </c>
      <c r="E426" s="9" t="s">
        <v>84</v>
      </c>
      <c r="F426" t="s">
        <v>1668</v>
      </c>
      <c r="G426">
        <v>28</v>
      </c>
      <c r="H426" s="11">
        <v>1175000</v>
      </c>
      <c r="I426" s="10">
        <v>2.5638666746902898</v>
      </c>
    </row>
    <row r="427" spans="2:9" x14ac:dyDescent="0.25">
      <c r="B427" t="s">
        <v>1077</v>
      </c>
      <c r="C427" s="9" t="s">
        <v>1078</v>
      </c>
      <c r="D427" s="9" t="s">
        <v>81</v>
      </c>
      <c r="E427" s="9" t="s">
        <v>17</v>
      </c>
      <c r="F427" t="s">
        <v>1668</v>
      </c>
      <c r="G427">
        <v>32</v>
      </c>
      <c r="H427" s="11">
        <v>912000</v>
      </c>
      <c r="I427" s="10">
        <v>2.5596072206293301</v>
      </c>
    </row>
    <row r="428" spans="2:9" x14ac:dyDescent="0.25">
      <c r="B428" t="s">
        <v>983</v>
      </c>
      <c r="C428" s="9" t="s">
        <v>984</v>
      </c>
      <c r="D428" s="9" t="s">
        <v>46</v>
      </c>
      <c r="E428" s="9" t="s">
        <v>84</v>
      </c>
      <c r="F428" t="s">
        <v>1668</v>
      </c>
      <c r="G428">
        <v>32</v>
      </c>
      <c r="H428" s="11">
        <v>993000</v>
      </c>
      <c r="I428" s="10">
        <v>2.5535281412392901</v>
      </c>
    </row>
    <row r="429" spans="2:9" x14ac:dyDescent="0.25">
      <c r="B429" t="s">
        <v>937</v>
      </c>
      <c r="C429" s="9" t="s">
        <v>938</v>
      </c>
      <c r="D429" s="9" t="s">
        <v>128</v>
      </c>
      <c r="E429" s="9" t="s">
        <v>84</v>
      </c>
      <c r="F429" t="s">
        <v>1668</v>
      </c>
      <c r="G429">
        <v>34</v>
      </c>
      <c r="H429" s="11">
        <v>750000</v>
      </c>
      <c r="I429" s="10">
        <v>2.5489217111147799</v>
      </c>
    </row>
    <row r="430" spans="2:9" x14ac:dyDescent="0.25">
      <c r="B430" t="s">
        <v>941</v>
      </c>
      <c r="C430" s="9" t="s">
        <v>942</v>
      </c>
      <c r="D430" s="9" t="s">
        <v>75</v>
      </c>
      <c r="E430" s="9" t="s">
        <v>84</v>
      </c>
      <c r="F430" t="s">
        <v>1668</v>
      </c>
      <c r="G430">
        <v>28</v>
      </c>
      <c r="H430" s="11">
        <v>866000</v>
      </c>
      <c r="I430" s="10">
        <v>2.5468408476231201</v>
      </c>
    </row>
    <row r="431" spans="2:9" x14ac:dyDescent="0.25">
      <c r="B431" t="s">
        <v>945</v>
      </c>
      <c r="C431" s="9" t="s">
        <v>946</v>
      </c>
      <c r="D431" s="9" t="s">
        <v>96</v>
      </c>
      <c r="E431" s="9" t="s">
        <v>84</v>
      </c>
      <c r="F431" t="s">
        <v>1668</v>
      </c>
      <c r="G431">
        <v>25</v>
      </c>
      <c r="H431" s="11">
        <v>1398000</v>
      </c>
      <c r="I431" s="10">
        <v>2.5343993687853699</v>
      </c>
    </row>
    <row r="432" spans="2:9" x14ac:dyDescent="0.25">
      <c r="B432" t="s">
        <v>987</v>
      </c>
      <c r="C432" s="9" t="s">
        <v>988</v>
      </c>
      <c r="D432" s="9" t="s">
        <v>78</v>
      </c>
      <c r="E432" s="9" t="s">
        <v>84</v>
      </c>
      <c r="F432" t="s">
        <v>1668</v>
      </c>
      <c r="G432">
        <v>31</v>
      </c>
      <c r="H432" s="11">
        <v>1469000</v>
      </c>
      <c r="I432" s="10">
        <v>2.5276606751790598</v>
      </c>
    </row>
    <row r="433" spans="2:9" x14ac:dyDescent="0.25">
      <c r="B433" t="s">
        <v>1019</v>
      </c>
      <c r="C433" s="9" t="s">
        <v>1020</v>
      </c>
      <c r="D433" s="9" t="s">
        <v>78</v>
      </c>
      <c r="E433" s="9" t="s">
        <v>37</v>
      </c>
      <c r="F433" t="s">
        <v>1668</v>
      </c>
      <c r="G433">
        <v>26</v>
      </c>
      <c r="H433" s="11">
        <v>807000</v>
      </c>
      <c r="I433" s="10">
        <v>2.5260451006546001</v>
      </c>
    </row>
    <row r="434" spans="2:9" x14ac:dyDescent="0.25">
      <c r="B434" t="s">
        <v>867</v>
      </c>
      <c r="C434" s="9" t="s">
        <v>868</v>
      </c>
      <c r="D434" s="9" t="s">
        <v>13</v>
      </c>
      <c r="E434" s="9" t="s">
        <v>84</v>
      </c>
      <c r="F434" t="s">
        <v>1668</v>
      </c>
      <c r="G434">
        <v>28</v>
      </c>
      <c r="H434" s="11">
        <v>1249000</v>
      </c>
      <c r="I434" s="10">
        <v>2.52559965748625</v>
      </c>
    </row>
    <row r="435" spans="2:9" x14ac:dyDescent="0.25">
      <c r="B435" t="s">
        <v>875</v>
      </c>
      <c r="C435" s="9" t="s">
        <v>876</v>
      </c>
      <c r="D435" s="9" t="s">
        <v>181</v>
      </c>
      <c r="E435" s="9" t="s">
        <v>30</v>
      </c>
      <c r="F435" t="s">
        <v>1668</v>
      </c>
      <c r="G435">
        <v>30</v>
      </c>
      <c r="H435" s="11">
        <v>750000</v>
      </c>
      <c r="I435" s="10">
        <v>2.5209544771149499</v>
      </c>
    </row>
    <row r="436" spans="2:9" x14ac:dyDescent="0.25">
      <c r="B436" t="s">
        <v>1023</v>
      </c>
      <c r="C436" s="9" t="s">
        <v>1024</v>
      </c>
      <c r="D436" s="9" t="s">
        <v>24</v>
      </c>
      <c r="E436" s="9" t="s">
        <v>84</v>
      </c>
      <c r="F436" t="s">
        <v>1668</v>
      </c>
      <c r="G436">
        <v>31</v>
      </c>
      <c r="H436" s="11">
        <v>1687000</v>
      </c>
      <c r="I436" s="10">
        <v>2.5000359783192199</v>
      </c>
    </row>
    <row r="437" spans="2:9" x14ac:dyDescent="0.25">
      <c r="B437" t="s">
        <v>639</v>
      </c>
      <c r="C437" s="9" t="s">
        <v>640</v>
      </c>
      <c r="D437" s="9" t="s">
        <v>96</v>
      </c>
      <c r="E437" s="9" t="s">
        <v>84</v>
      </c>
      <c r="F437" t="s">
        <v>1668</v>
      </c>
      <c r="G437">
        <v>28</v>
      </c>
      <c r="H437" s="11">
        <v>750000</v>
      </c>
      <c r="I437" s="10">
        <v>2.48994861405198</v>
      </c>
    </row>
    <row r="438" spans="2:9" x14ac:dyDescent="0.25">
      <c r="B438" t="s">
        <v>981</v>
      </c>
      <c r="C438" s="9" t="s">
        <v>982</v>
      </c>
      <c r="D438" s="9" t="s">
        <v>9</v>
      </c>
      <c r="E438" s="9" t="s">
        <v>43</v>
      </c>
      <c r="F438" t="s">
        <v>1668</v>
      </c>
      <c r="G438">
        <v>32</v>
      </c>
      <c r="H438" s="11">
        <v>750000</v>
      </c>
      <c r="I438" s="10">
        <v>2.4794279979820399</v>
      </c>
    </row>
    <row r="439" spans="2:9" x14ac:dyDescent="0.25">
      <c r="B439" t="s">
        <v>835</v>
      </c>
      <c r="C439" s="9" t="s">
        <v>836</v>
      </c>
      <c r="D439" s="9" t="s">
        <v>128</v>
      </c>
      <c r="E439" s="9" t="s">
        <v>132</v>
      </c>
      <c r="F439" t="s">
        <v>1668</v>
      </c>
      <c r="G439">
        <v>32</v>
      </c>
      <c r="H439" s="11">
        <v>987000</v>
      </c>
      <c r="I439" s="10">
        <v>2.4774887929183098</v>
      </c>
    </row>
    <row r="440" spans="2:9" x14ac:dyDescent="0.25">
      <c r="B440" t="s">
        <v>715</v>
      </c>
      <c r="C440" s="9" t="s">
        <v>716</v>
      </c>
      <c r="D440" s="9" t="s">
        <v>36</v>
      </c>
      <c r="E440" s="9" t="s">
        <v>84</v>
      </c>
      <c r="F440" t="s">
        <v>1668</v>
      </c>
      <c r="G440">
        <v>23</v>
      </c>
      <c r="H440" s="11">
        <v>1085000</v>
      </c>
      <c r="I440" s="10">
        <v>2.4770934050078801</v>
      </c>
    </row>
    <row r="441" spans="2:9" x14ac:dyDescent="0.25">
      <c r="B441" t="s">
        <v>931</v>
      </c>
      <c r="C441" s="9" t="s">
        <v>932</v>
      </c>
      <c r="D441" s="9" t="s">
        <v>170</v>
      </c>
      <c r="E441" s="9" t="s">
        <v>43</v>
      </c>
      <c r="F441" t="s">
        <v>1668</v>
      </c>
      <c r="G441">
        <v>30</v>
      </c>
      <c r="H441" s="11">
        <v>758000</v>
      </c>
      <c r="I441" s="10">
        <v>2.4739877931872001</v>
      </c>
    </row>
    <row r="442" spans="2:9" x14ac:dyDescent="0.25">
      <c r="B442" t="s">
        <v>883</v>
      </c>
      <c r="C442" s="9" t="s">
        <v>884</v>
      </c>
      <c r="D442" s="9" t="s">
        <v>16</v>
      </c>
      <c r="E442" s="9" t="s">
        <v>17</v>
      </c>
      <c r="F442" t="s">
        <v>1668</v>
      </c>
      <c r="G442">
        <v>34</v>
      </c>
      <c r="H442" s="11">
        <v>1644000</v>
      </c>
      <c r="I442" s="10">
        <v>2.46458025023817</v>
      </c>
    </row>
    <row r="443" spans="2:9" x14ac:dyDescent="0.25">
      <c r="B443" t="s">
        <v>775</v>
      </c>
      <c r="C443" s="9" t="s">
        <v>776</v>
      </c>
      <c r="D443" s="9" t="s">
        <v>128</v>
      </c>
      <c r="E443" s="9" t="s">
        <v>43</v>
      </c>
      <c r="F443" t="s">
        <v>1668</v>
      </c>
      <c r="G443">
        <v>27</v>
      </c>
      <c r="H443" s="11">
        <v>956000</v>
      </c>
      <c r="I443" s="10">
        <v>2.4532595160569102</v>
      </c>
    </row>
    <row r="444" spans="2:9" x14ac:dyDescent="0.25">
      <c r="B444" t="s">
        <v>1057</v>
      </c>
      <c r="C444" s="9" t="s">
        <v>1058</v>
      </c>
      <c r="D444" s="9" t="s">
        <v>87</v>
      </c>
      <c r="E444" s="9" t="s">
        <v>84</v>
      </c>
      <c r="F444" t="s">
        <v>1668</v>
      </c>
      <c r="G444">
        <v>35</v>
      </c>
      <c r="H444" s="11">
        <v>877000</v>
      </c>
      <c r="I444" s="10">
        <v>2.4513032943689002</v>
      </c>
    </row>
    <row r="445" spans="2:9" x14ac:dyDescent="0.25">
      <c r="B445" t="s">
        <v>647</v>
      </c>
      <c r="C445" s="9" t="s">
        <v>648</v>
      </c>
      <c r="D445" s="9" t="s">
        <v>16</v>
      </c>
      <c r="E445" s="9" t="s">
        <v>43</v>
      </c>
      <c r="F445" t="s">
        <v>1668</v>
      </c>
      <c r="G445">
        <v>28</v>
      </c>
      <c r="H445" s="11">
        <v>1289000</v>
      </c>
      <c r="I445" s="10">
        <v>2.4512708564577399</v>
      </c>
    </row>
    <row r="446" spans="2:9" x14ac:dyDescent="0.25">
      <c r="B446" t="s">
        <v>997</v>
      </c>
      <c r="C446" s="9" t="s">
        <v>998</v>
      </c>
      <c r="D446" s="9" t="s">
        <v>239</v>
      </c>
      <c r="E446" s="9" t="s">
        <v>84</v>
      </c>
      <c r="F446" t="s">
        <v>1668</v>
      </c>
      <c r="G446">
        <v>34</v>
      </c>
      <c r="H446" s="11">
        <v>1174000</v>
      </c>
      <c r="I446" s="10">
        <v>2.4415552853268898</v>
      </c>
    </row>
    <row r="447" spans="2:9" x14ac:dyDescent="0.25">
      <c r="B447" t="s">
        <v>1231</v>
      </c>
      <c r="C447" s="9" t="s">
        <v>1232</v>
      </c>
      <c r="D447" s="9" t="s">
        <v>27</v>
      </c>
      <c r="E447" s="9" t="s">
        <v>37</v>
      </c>
      <c r="F447" t="s">
        <v>1668</v>
      </c>
      <c r="G447">
        <v>31</v>
      </c>
      <c r="H447" s="11">
        <v>946000</v>
      </c>
      <c r="I447" s="10">
        <v>2.43712317235605</v>
      </c>
    </row>
    <row r="448" spans="2:9" x14ac:dyDescent="0.25">
      <c r="B448" t="s">
        <v>1029</v>
      </c>
      <c r="C448" s="9" t="s">
        <v>1030</v>
      </c>
      <c r="D448" s="9" t="s">
        <v>101</v>
      </c>
      <c r="E448" s="9" t="s">
        <v>10</v>
      </c>
      <c r="F448" t="s">
        <v>1668</v>
      </c>
      <c r="G448">
        <v>31</v>
      </c>
      <c r="H448" s="11">
        <v>1053000</v>
      </c>
      <c r="I448" s="10">
        <v>2.4323311290624599</v>
      </c>
    </row>
    <row r="449" spans="2:9" x14ac:dyDescent="0.25">
      <c r="B449" t="s">
        <v>1051</v>
      </c>
      <c r="C449" s="9" t="s">
        <v>1052</v>
      </c>
      <c r="D449" s="9" t="s">
        <v>33</v>
      </c>
      <c r="E449" s="9" t="s">
        <v>10</v>
      </c>
      <c r="F449" t="s">
        <v>1668</v>
      </c>
      <c r="G449">
        <v>33</v>
      </c>
      <c r="H449" s="11">
        <v>1258000</v>
      </c>
      <c r="I449" s="10">
        <v>2.4295888964966799</v>
      </c>
    </row>
    <row r="450" spans="2:9" x14ac:dyDescent="0.25">
      <c r="B450" t="s">
        <v>1129</v>
      </c>
      <c r="C450" s="9" t="s">
        <v>1130</v>
      </c>
      <c r="D450" s="9" t="s">
        <v>40</v>
      </c>
      <c r="E450" s="9" t="s">
        <v>84</v>
      </c>
      <c r="F450" t="s">
        <v>1668</v>
      </c>
      <c r="G450">
        <v>34</v>
      </c>
      <c r="H450" s="11">
        <v>1345000</v>
      </c>
      <c r="I450" s="10">
        <v>2.4232545593475199</v>
      </c>
    </row>
    <row r="451" spans="2:9" x14ac:dyDescent="0.25">
      <c r="B451" t="s">
        <v>1031</v>
      </c>
      <c r="C451" s="9" t="s">
        <v>1032</v>
      </c>
      <c r="D451" s="9" t="s">
        <v>96</v>
      </c>
      <c r="E451" s="9" t="s">
        <v>84</v>
      </c>
      <c r="F451" t="s">
        <v>1668</v>
      </c>
      <c r="G451">
        <v>26</v>
      </c>
      <c r="H451" s="11">
        <v>1061000</v>
      </c>
      <c r="I451" s="10">
        <v>2.4232185296895299</v>
      </c>
    </row>
    <row r="452" spans="2:9" x14ac:dyDescent="0.25">
      <c r="B452" t="s">
        <v>845</v>
      </c>
      <c r="C452" s="9" t="s">
        <v>846</v>
      </c>
      <c r="D452" s="9" t="s">
        <v>81</v>
      </c>
      <c r="E452" s="9" t="s">
        <v>21</v>
      </c>
      <c r="F452" t="s">
        <v>1668</v>
      </c>
      <c r="G452">
        <v>29</v>
      </c>
      <c r="H452" s="11">
        <v>1441000</v>
      </c>
      <c r="I452" s="10">
        <v>2.4188693966183901</v>
      </c>
    </row>
    <row r="453" spans="2:9" x14ac:dyDescent="0.25">
      <c r="B453" t="s">
        <v>891</v>
      </c>
      <c r="C453" s="9" t="s">
        <v>892</v>
      </c>
      <c r="D453" s="9" t="s">
        <v>236</v>
      </c>
      <c r="E453" s="9" t="s">
        <v>84</v>
      </c>
      <c r="F453" t="s">
        <v>1668</v>
      </c>
      <c r="G453">
        <v>28</v>
      </c>
      <c r="H453" s="11">
        <v>1639000</v>
      </c>
      <c r="I453" s="10">
        <v>2.4172835995945099</v>
      </c>
    </row>
    <row r="454" spans="2:9" x14ac:dyDescent="0.25">
      <c r="B454" t="s">
        <v>1151</v>
      </c>
      <c r="C454" s="9" t="s">
        <v>1152</v>
      </c>
      <c r="D454" s="9" t="s">
        <v>46</v>
      </c>
      <c r="E454" s="9" t="s">
        <v>17</v>
      </c>
      <c r="F454" t="s">
        <v>1668</v>
      </c>
      <c r="G454">
        <v>33</v>
      </c>
      <c r="H454" s="11">
        <v>1565000</v>
      </c>
      <c r="I454" s="10">
        <v>2.4168233958405798</v>
      </c>
    </row>
    <row r="455" spans="2:9" x14ac:dyDescent="0.25">
      <c r="B455" t="s">
        <v>1107</v>
      </c>
      <c r="C455" s="9" t="s">
        <v>1108</v>
      </c>
      <c r="D455" s="9" t="s">
        <v>239</v>
      </c>
      <c r="E455" s="9" t="s">
        <v>84</v>
      </c>
      <c r="F455" t="s">
        <v>1668</v>
      </c>
      <c r="G455">
        <v>31</v>
      </c>
      <c r="H455" s="11">
        <v>1201000</v>
      </c>
      <c r="I455" s="10">
        <v>2.4161467358869801</v>
      </c>
    </row>
    <row r="456" spans="2:9" x14ac:dyDescent="0.25">
      <c r="B456" t="s">
        <v>919</v>
      </c>
      <c r="C456" s="9" t="s">
        <v>920</v>
      </c>
      <c r="D456" s="9" t="s">
        <v>101</v>
      </c>
      <c r="E456" s="9" t="s">
        <v>84</v>
      </c>
      <c r="F456" t="s">
        <v>1668</v>
      </c>
      <c r="G456">
        <v>31</v>
      </c>
      <c r="H456" s="11">
        <v>1123000</v>
      </c>
      <c r="I456" s="10">
        <v>2.4090287629593199</v>
      </c>
    </row>
    <row r="457" spans="2:9" x14ac:dyDescent="0.25">
      <c r="B457" t="s">
        <v>913</v>
      </c>
      <c r="C457" s="9" t="s">
        <v>914</v>
      </c>
      <c r="D457" s="9" t="s">
        <v>20</v>
      </c>
      <c r="E457" s="9" t="s">
        <v>84</v>
      </c>
      <c r="F457" t="s">
        <v>1668</v>
      </c>
      <c r="G457">
        <v>26</v>
      </c>
      <c r="H457" s="11">
        <v>775000</v>
      </c>
      <c r="I457" s="10">
        <v>2.4047703246529499</v>
      </c>
    </row>
    <row r="458" spans="2:9" x14ac:dyDescent="0.25">
      <c r="B458" t="s">
        <v>1073</v>
      </c>
      <c r="C458" s="9" t="s">
        <v>1074</v>
      </c>
      <c r="D458" s="9" t="s">
        <v>53</v>
      </c>
      <c r="E458" s="9" t="s">
        <v>84</v>
      </c>
      <c r="F458" t="s">
        <v>1668</v>
      </c>
      <c r="G458">
        <v>34</v>
      </c>
      <c r="H458" s="11">
        <v>1323000</v>
      </c>
      <c r="I458" s="10">
        <v>2.40350651702812</v>
      </c>
    </row>
    <row r="459" spans="2:9" x14ac:dyDescent="0.25">
      <c r="B459" t="s">
        <v>849</v>
      </c>
      <c r="C459" s="9" t="s">
        <v>850</v>
      </c>
      <c r="D459" s="9" t="s">
        <v>36</v>
      </c>
      <c r="E459" s="9" t="s">
        <v>84</v>
      </c>
      <c r="F459" t="s">
        <v>1668</v>
      </c>
      <c r="G459">
        <v>26</v>
      </c>
      <c r="H459" s="11">
        <v>1028000</v>
      </c>
      <c r="I459" s="10">
        <v>2.4010744309035199</v>
      </c>
    </row>
    <row r="460" spans="2:9" x14ac:dyDescent="0.25">
      <c r="B460" t="s">
        <v>609</v>
      </c>
      <c r="C460" s="9" t="s">
        <v>610</v>
      </c>
      <c r="D460" s="9" t="s">
        <v>13</v>
      </c>
      <c r="E460" s="9" t="s">
        <v>43</v>
      </c>
      <c r="F460" t="s">
        <v>1668</v>
      </c>
      <c r="G460">
        <v>33</v>
      </c>
      <c r="H460" s="11">
        <v>750000</v>
      </c>
      <c r="I460" s="10">
        <v>2.394019917429</v>
      </c>
    </row>
    <row r="461" spans="2:9" x14ac:dyDescent="0.25">
      <c r="B461" t="s">
        <v>993</v>
      </c>
      <c r="C461" s="9" t="s">
        <v>994</v>
      </c>
      <c r="D461" s="9" t="s">
        <v>96</v>
      </c>
      <c r="E461" s="9" t="s">
        <v>17</v>
      </c>
      <c r="F461" t="s">
        <v>1668</v>
      </c>
      <c r="G461">
        <v>30</v>
      </c>
      <c r="H461" s="11">
        <v>854000</v>
      </c>
      <c r="I461" s="10">
        <v>2.3807375010227698</v>
      </c>
    </row>
    <row r="462" spans="2:9" x14ac:dyDescent="0.25">
      <c r="B462" t="s">
        <v>921</v>
      </c>
      <c r="C462" s="9" t="s">
        <v>922</v>
      </c>
      <c r="D462" s="9" t="s">
        <v>153</v>
      </c>
      <c r="E462" s="9" t="s">
        <v>10</v>
      </c>
      <c r="F462" t="s">
        <v>1668</v>
      </c>
      <c r="G462">
        <v>31</v>
      </c>
      <c r="H462" s="11">
        <v>1106000</v>
      </c>
      <c r="I462" s="10">
        <v>2.3804950526191302</v>
      </c>
    </row>
    <row r="463" spans="2:9" x14ac:dyDescent="0.25">
      <c r="B463" t="s">
        <v>771</v>
      </c>
      <c r="C463" s="9" t="s">
        <v>772</v>
      </c>
      <c r="D463" s="9" t="s">
        <v>153</v>
      </c>
      <c r="E463" s="9" t="s">
        <v>43</v>
      </c>
      <c r="F463" t="s">
        <v>1668</v>
      </c>
      <c r="G463">
        <v>26</v>
      </c>
      <c r="H463" s="11">
        <v>1384000</v>
      </c>
      <c r="I463" s="10">
        <v>2.3745236829926499</v>
      </c>
    </row>
    <row r="464" spans="2:9" x14ac:dyDescent="0.25">
      <c r="B464" t="s">
        <v>767</v>
      </c>
      <c r="C464" s="9" t="s">
        <v>768</v>
      </c>
      <c r="D464" s="9" t="s">
        <v>78</v>
      </c>
      <c r="E464" s="9" t="s">
        <v>84</v>
      </c>
      <c r="F464" t="s">
        <v>1668</v>
      </c>
      <c r="G464">
        <v>30</v>
      </c>
      <c r="H464" s="11">
        <v>750000</v>
      </c>
      <c r="I464" s="10">
        <v>2.3714238520712101</v>
      </c>
    </row>
    <row r="465" spans="2:9" x14ac:dyDescent="0.25">
      <c r="B465" t="s">
        <v>1155</v>
      </c>
      <c r="C465" s="9" t="s">
        <v>1156</v>
      </c>
      <c r="D465" s="9" t="s">
        <v>170</v>
      </c>
      <c r="E465" s="9" t="s">
        <v>37</v>
      </c>
      <c r="F465" t="s">
        <v>1668</v>
      </c>
      <c r="G465">
        <v>31</v>
      </c>
      <c r="H465" s="11">
        <v>985000</v>
      </c>
      <c r="I465" s="10">
        <v>2.3662291646250599</v>
      </c>
    </row>
    <row r="466" spans="2:9" x14ac:dyDescent="0.25">
      <c r="B466" t="s">
        <v>657</v>
      </c>
      <c r="C466" s="9" t="s">
        <v>658</v>
      </c>
      <c r="D466" s="9" t="s">
        <v>181</v>
      </c>
      <c r="E466" s="9" t="s">
        <v>43</v>
      </c>
      <c r="F466" t="s">
        <v>1663</v>
      </c>
      <c r="G466">
        <v>30</v>
      </c>
      <c r="H466" s="11">
        <v>1774000</v>
      </c>
      <c r="I466" s="10">
        <v>2.3607754158217702</v>
      </c>
    </row>
    <row r="467" spans="2:9" x14ac:dyDescent="0.25">
      <c r="B467" t="s">
        <v>915</v>
      </c>
      <c r="C467" s="9" t="s">
        <v>916</v>
      </c>
      <c r="D467" s="9" t="s">
        <v>72</v>
      </c>
      <c r="E467" s="9" t="s">
        <v>84</v>
      </c>
      <c r="F467" t="s">
        <v>1668</v>
      </c>
      <c r="G467">
        <v>32</v>
      </c>
      <c r="H467" s="11">
        <v>925000</v>
      </c>
      <c r="I467" s="10">
        <v>2.3543300041499702</v>
      </c>
    </row>
    <row r="468" spans="2:9" x14ac:dyDescent="0.25">
      <c r="B468" t="s">
        <v>847</v>
      </c>
      <c r="C468" s="9" t="s">
        <v>848</v>
      </c>
      <c r="D468" s="9" t="s">
        <v>242</v>
      </c>
      <c r="E468" s="9" t="s">
        <v>17</v>
      </c>
      <c r="F468" t="s">
        <v>1668</v>
      </c>
      <c r="G468">
        <v>30</v>
      </c>
      <c r="H468" s="11">
        <v>750000</v>
      </c>
      <c r="I468" s="10">
        <v>2.3540593275405199</v>
      </c>
    </row>
    <row r="469" spans="2:9" x14ac:dyDescent="0.25">
      <c r="B469" t="s">
        <v>853</v>
      </c>
      <c r="C469" s="9" t="s">
        <v>854</v>
      </c>
      <c r="D469" s="9" t="s">
        <v>139</v>
      </c>
      <c r="E469" s="9" t="s">
        <v>17</v>
      </c>
      <c r="F469" t="s">
        <v>1668</v>
      </c>
      <c r="G469">
        <v>27</v>
      </c>
      <c r="H469" s="11">
        <v>1070000</v>
      </c>
      <c r="I469" s="10">
        <v>2.3538522037948</v>
      </c>
    </row>
    <row r="470" spans="2:9" x14ac:dyDescent="0.25">
      <c r="B470" t="s">
        <v>1115</v>
      </c>
      <c r="C470" s="9" t="s">
        <v>1116</v>
      </c>
      <c r="D470" s="9" t="s">
        <v>87</v>
      </c>
      <c r="E470" s="9" t="s">
        <v>132</v>
      </c>
      <c r="F470" t="s">
        <v>1668</v>
      </c>
      <c r="G470">
        <v>30</v>
      </c>
      <c r="H470" s="11">
        <v>797000</v>
      </c>
      <c r="I470" s="10">
        <v>2.35328018016902</v>
      </c>
    </row>
    <row r="471" spans="2:9" x14ac:dyDescent="0.25">
      <c r="B471" t="s">
        <v>1346</v>
      </c>
      <c r="C471" s="9" t="s">
        <v>1347</v>
      </c>
      <c r="D471" s="9" t="s">
        <v>87</v>
      </c>
      <c r="E471" s="9" t="s">
        <v>84</v>
      </c>
      <c r="F471" t="s">
        <v>1668</v>
      </c>
      <c r="G471">
        <v>33</v>
      </c>
      <c r="H471" s="11">
        <v>750000</v>
      </c>
      <c r="I471" s="10">
        <v>2.35160089239481</v>
      </c>
    </row>
    <row r="472" spans="2:9" x14ac:dyDescent="0.25">
      <c r="B472" t="s">
        <v>857</v>
      </c>
      <c r="C472" s="9" t="s">
        <v>858</v>
      </c>
      <c r="D472" s="9" t="s">
        <v>150</v>
      </c>
      <c r="E472" s="9" t="s">
        <v>84</v>
      </c>
      <c r="F472" t="s">
        <v>1668</v>
      </c>
      <c r="G472">
        <v>30</v>
      </c>
      <c r="H472" s="11">
        <v>1708000</v>
      </c>
      <c r="I472" s="10">
        <v>2.34813394735031</v>
      </c>
    </row>
    <row r="473" spans="2:9" x14ac:dyDescent="0.25">
      <c r="B473" t="s">
        <v>1027</v>
      </c>
      <c r="C473" s="9" t="s">
        <v>1028</v>
      </c>
      <c r="D473" s="9" t="s">
        <v>16</v>
      </c>
      <c r="E473" s="9" t="s">
        <v>10</v>
      </c>
      <c r="F473" t="s">
        <v>1668</v>
      </c>
      <c r="G473">
        <v>30</v>
      </c>
      <c r="H473" s="11">
        <v>953000</v>
      </c>
      <c r="I473" s="10">
        <v>2.34457351905683</v>
      </c>
    </row>
    <row r="474" spans="2:9" x14ac:dyDescent="0.25">
      <c r="B474" t="s">
        <v>1017</v>
      </c>
      <c r="C474" s="9" t="s">
        <v>1018</v>
      </c>
      <c r="D474" s="9" t="s">
        <v>53</v>
      </c>
      <c r="E474" s="9" t="s">
        <v>21</v>
      </c>
      <c r="F474" t="s">
        <v>1668</v>
      </c>
      <c r="G474">
        <v>32</v>
      </c>
      <c r="H474" s="11">
        <v>1537000</v>
      </c>
      <c r="I474" s="10">
        <v>2.3400550918316099</v>
      </c>
    </row>
    <row r="475" spans="2:9" x14ac:dyDescent="0.25">
      <c r="B475" t="s">
        <v>905</v>
      </c>
      <c r="C475" s="9" t="s">
        <v>906</v>
      </c>
      <c r="D475" s="9" t="s">
        <v>33</v>
      </c>
      <c r="E475" s="9" t="s">
        <v>21</v>
      </c>
      <c r="F475" t="s">
        <v>1668</v>
      </c>
      <c r="G475">
        <v>27</v>
      </c>
      <c r="H475" s="11">
        <v>1319000</v>
      </c>
      <c r="I475" s="10">
        <v>2.3299238733286902</v>
      </c>
    </row>
    <row r="476" spans="2:9" x14ac:dyDescent="0.25">
      <c r="B476" t="s">
        <v>1035</v>
      </c>
      <c r="C476" s="9" t="s">
        <v>1036</v>
      </c>
      <c r="D476" s="9" t="s">
        <v>72</v>
      </c>
      <c r="E476" s="9" t="s">
        <v>37</v>
      </c>
      <c r="F476" t="s">
        <v>1668</v>
      </c>
      <c r="G476">
        <v>34</v>
      </c>
      <c r="H476" s="11">
        <v>1397000</v>
      </c>
      <c r="I476" s="10">
        <v>2.3218373225906599</v>
      </c>
    </row>
    <row r="477" spans="2:9" x14ac:dyDescent="0.25">
      <c r="B477" t="s">
        <v>825</v>
      </c>
      <c r="C477" s="9" t="s">
        <v>826</v>
      </c>
      <c r="D477" s="9" t="s">
        <v>53</v>
      </c>
      <c r="E477" s="9" t="s">
        <v>84</v>
      </c>
      <c r="F477" t="s">
        <v>1668</v>
      </c>
      <c r="G477">
        <v>30</v>
      </c>
      <c r="H477" s="11">
        <v>750000</v>
      </c>
      <c r="I477" s="10">
        <v>2.31548970657047</v>
      </c>
    </row>
    <row r="478" spans="2:9" x14ac:dyDescent="0.25">
      <c r="B478" t="s">
        <v>817</v>
      </c>
      <c r="C478" s="9" t="s">
        <v>818</v>
      </c>
      <c r="D478" s="9" t="s">
        <v>13</v>
      </c>
      <c r="E478" s="9" t="s">
        <v>84</v>
      </c>
      <c r="F478" t="s">
        <v>1668</v>
      </c>
      <c r="G478">
        <v>27</v>
      </c>
      <c r="H478" s="11">
        <v>1109000</v>
      </c>
      <c r="I478" s="10">
        <v>2.2725238933697698</v>
      </c>
    </row>
    <row r="479" spans="2:9" x14ac:dyDescent="0.25">
      <c r="B479" t="s">
        <v>779</v>
      </c>
      <c r="C479" s="9" t="s">
        <v>780</v>
      </c>
      <c r="D479" s="9" t="s">
        <v>13</v>
      </c>
      <c r="E479" s="9" t="s">
        <v>84</v>
      </c>
      <c r="F479" t="s">
        <v>1668</v>
      </c>
      <c r="G479">
        <v>35</v>
      </c>
      <c r="H479" s="11">
        <v>1235000</v>
      </c>
      <c r="I479" s="10">
        <v>2.26956750444264</v>
      </c>
    </row>
    <row r="480" spans="2:9" x14ac:dyDescent="0.25">
      <c r="B480" t="s">
        <v>513</v>
      </c>
      <c r="C480" s="9" t="s">
        <v>514</v>
      </c>
      <c r="D480" s="9" t="s">
        <v>128</v>
      </c>
      <c r="E480" s="9" t="s">
        <v>84</v>
      </c>
      <c r="F480" t="s">
        <v>1668</v>
      </c>
      <c r="G480">
        <v>26</v>
      </c>
      <c r="H480" s="11">
        <v>1370000</v>
      </c>
      <c r="I480" s="10">
        <v>2.2677061292048002</v>
      </c>
    </row>
    <row r="481" spans="2:9" x14ac:dyDescent="0.25">
      <c r="B481" t="s">
        <v>957</v>
      </c>
      <c r="C481" s="9" t="s">
        <v>958</v>
      </c>
      <c r="D481" s="9" t="s">
        <v>87</v>
      </c>
      <c r="E481" s="9" t="s">
        <v>84</v>
      </c>
      <c r="F481" t="s">
        <v>1668</v>
      </c>
      <c r="G481">
        <v>25</v>
      </c>
      <c r="H481" s="11">
        <v>750000</v>
      </c>
      <c r="I481" s="10">
        <v>2.2611486756160302</v>
      </c>
    </row>
    <row r="482" spans="2:9" x14ac:dyDescent="0.25">
      <c r="B482" t="s">
        <v>865</v>
      </c>
      <c r="C482" s="9" t="s">
        <v>866</v>
      </c>
      <c r="D482" s="9" t="s">
        <v>78</v>
      </c>
      <c r="E482" s="9" t="s">
        <v>30</v>
      </c>
      <c r="F482" t="s">
        <v>1668</v>
      </c>
      <c r="G482">
        <v>33</v>
      </c>
      <c r="H482" s="11">
        <v>1263000</v>
      </c>
      <c r="I482" s="10">
        <v>2.2569926587376901</v>
      </c>
    </row>
    <row r="483" spans="2:9" x14ac:dyDescent="0.25">
      <c r="B483" t="s">
        <v>795</v>
      </c>
      <c r="C483" s="9" t="s">
        <v>796</v>
      </c>
      <c r="D483" s="9" t="s">
        <v>236</v>
      </c>
      <c r="E483" s="9" t="s">
        <v>21</v>
      </c>
      <c r="F483" t="s">
        <v>1668</v>
      </c>
      <c r="G483">
        <v>33</v>
      </c>
      <c r="H483" s="11">
        <v>2087000</v>
      </c>
      <c r="I483" s="10">
        <v>2.2549974884504098</v>
      </c>
    </row>
    <row r="484" spans="2:9" x14ac:dyDescent="0.25">
      <c r="B484" t="s">
        <v>1549</v>
      </c>
      <c r="C484" s="9" t="s">
        <v>1616</v>
      </c>
      <c r="D484" s="9" t="s">
        <v>33</v>
      </c>
      <c r="E484" s="9" t="s">
        <v>37</v>
      </c>
      <c r="F484" t="s">
        <v>1668</v>
      </c>
      <c r="G484">
        <v>24</v>
      </c>
      <c r="H484" s="11">
        <v>817000</v>
      </c>
      <c r="I484" s="10">
        <v>2.22411051927853</v>
      </c>
    </row>
    <row r="485" spans="2:9" x14ac:dyDescent="0.25">
      <c r="B485" t="s">
        <v>1009</v>
      </c>
      <c r="C485" s="9" t="s">
        <v>1010</v>
      </c>
      <c r="D485" s="9" t="s">
        <v>16</v>
      </c>
      <c r="E485" s="9" t="s">
        <v>84</v>
      </c>
      <c r="F485" t="s">
        <v>1668</v>
      </c>
      <c r="G485">
        <v>35</v>
      </c>
      <c r="H485" s="11">
        <v>1153000</v>
      </c>
      <c r="I485" s="10">
        <v>2.2150838560946902</v>
      </c>
    </row>
    <row r="486" spans="2:9" x14ac:dyDescent="0.25">
      <c r="B486" t="s">
        <v>855</v>
      </c>
      <c r="C486" s="9" t="s">
        <v>856</v>
      </c>
      <c r="D486" s="9" t="s">
        <v>20</v>
      </c>
      <c r="E486" s="9" t="s">
        <v>84</v>
      </c>
      <c r="F486" t="s">
        <v>1668</v>
      </c>
      <c r="G486">
        <v>27</v>
      </c>
      <c r="H486" s="11">
        <v>1323000</v>
      </c>
      <c r="I486" s="10">
        <v>2.2014380066491599</v>
      </c>
    </row>
    <row r="487" spans="2:9" x14ac:dyDescent="0.25">
      <c r="B487" t="s">
        <v>1556</v>
      </c>
      <c r="C487" s="9" t="s">
        <v>1623</v>
      </c>
      <c r="D487" s="9" t="s">
        <v>36</v>
      </c>
      <c r="E487" s="9" t="s">
        <v>84</v>
      </c>
      <c r="F487" t="s">
        <v>1668</v>
      </c>
      <c r="G487">
        <v>29</v>
      </c>
      <c r="H487" s="11">
        <v>750000</v>
      </c>
      <c r="I487" s="10">
        <v>2.1677014630337301</v>
      </c>
    </row>
    <row r="488" spans="2:9" x14ac:dyDescent="0.25">
      <c r="B488" t="s">
        <v>801</v>
      </c>
      <c r="C488" s="9" t="s">
        <v>802</v>
      </c>
      <c r="D488" s="9" t="s">
        <v>117</v>
      </c>
      <c r="E488" s="9" t="s">
        <v>84</v>
      </c>
      <c r="F488" t="s">
        <v>1668</v>
      </c>
      <c r="G488">
        <v>24</v>
      </c>
      <c r="H488" s="11">
        <v>750000</v>
      </c>
      <c r="I488" s="10">
        <v>2.1651660982388998</v>
      </c>
    </row>
    <row r="489" spans="2:9" x14ac:dyDescent="0.25">
      <c r="B489" t="s">
        <v>909</v>
      </c>
      <c r="C489" s="9" t="s">
        <v>910</v>
      </c>
      <c r="D489" s="9" t="s">
        <v>239</v>
      </c>
      <c r="E489" s="9" t="s">
        <v>84</v>
      </c>
      <c r="F489" t="s">
        <v>1668</v>
      </c>
      <c r="G489">
        <v>26</v>
      </c>
      <c r="H489" s="11">
        <v>750000</v>
      </c>
      <c r="I489" s="10">
        <v>2.15952377930742</v>
      </c>
    </row>
    <row r="490" spans="2:9" x14ac:dyDescent="0.25">
      <c r="B490" t="s">
        <v>933</v>
      </c>
      <c r="C490" s="9" t="s">
        <v>934</v>
      </c>
      <c r="D490" s="9" t="s">
        <v>139</v>
      </c>
      <c r="E490" s="9" t="s">
        <v>84</v>
      </c>
      <c r="F490" t="s">
        <v>1668</v>
      </c>
      <c r="G490">
        <v>26</v>
      </c>
      <c r="H490" s="11">
        <v>750000</v>
      </c>
      <c r="I490" s="10">
        <v>2.1553955141133301</v>
      </c>
    </row>
    <row r="491" spans="2:9" x14ac:dyDescent="0.25">
      <c r="B491" t="s">
        <v>1548</v>
      </c>
      <c r="C491" s="9" t="s">
        <v>1615</v>
      </c>
      <c r="D491" s="9" t="s">
        <v>181</v>
      </c>
      <c r="E491" s="9" t="s">
        <v>84</v>
      </c>
      <c r="F491" t="s">
        <v>1668</v>
      </c>
      <c r="G491">
        <v>23</v>
      </c>
      <c r="H491" s="11">
        <v>899000</v>
      </c>
      <c r="I491" s="10">
        <v>2.1535562384685498</v>
      </c>
    </row>
    <row r="492" spans="2:9" x14ac:dyDescent="0.25">
      <c r="B492" t="s">
        <v>1005</v>
      </c>
      <c r="C492" s="9" t="s">
        <v>1006</v>
      </c>
      <c r="D492" s="9" t="s">
        <v>78</v>
      </c>
      <c r="E492" s="9" t="s">
        <v>10</v>
      </c>
      <c r="F492" t="s">
        <v>1668</v>
      </c>
      <c r="G492">
        <v>27</v>
      </c>
      <c r="H492" s="11">
        <v>1028000</v>
      </c>
      <c r="I492" s="10">
        <v>2.1521791894506799</v>
      </c>
    </row>
    <row r="493" spans="2:9" x14ac:dyDescent="0.25">
      <c r="B493" t="s">
        <v>689</v>
      </c>
      <c r="C493" s="9" t="s">
        <v>690</v>
      </c>
      <c r="D493" s="9" t="s">
        <v>33</v>
      </c>
      <c r="E493" s="9" t="s">
        <v>84</v>
      </c>
      <c r="F493" t="s">
        <v>1668</v>
      </c>
      <c r="G493">
        <v>28</v>
      </c>
      <c r="H493" s="11">
        <v>1311000</v>
      </c>
      <c r="I493" s="10">
        <v>2.1383719097888898</v>
      </c>
    </row>
    <row r="494" spans="2:9" x14ac:dyDescent="0.25">
      <c r="B494" t="s">
        <v>793</v>
      </c>
      <c r="C494" s="9" t="s">
        <v>794</v>
      </c>
      <c r="D494" s="9" t="s">
        <v>53</v>
      </c>
      <c r="E494" s="9" t="s">
        <v>43</v>
      </c>
      <c r="F494" t="s">
        <v>1668</v>
      </c>
      <c r="G494">
        <v>40</v>
      </c>
      <c r="H494" s="11">
        <v>1537000</v>
      </c>
      <c r="I494" s="10">
        <v>2.1365176162113002</v>
      </c>
    </row>
    <row r="495" spans="2:9" x14ac:dyDescent="0.25">
      <c r="B495" t="s">
        <v>1551</v>
      </c>
      <c r="C495" s="9" t="s">
        <v>1618</v>
      </c>
      <c r="D495" s="9" t="s">
        <v>13</v>
      </c>
      <c r="E495" s="9" t="s">
        <v>84</v>
      </c>
      <c r="F495" t="s">
        <v>1668</v>
      </c>
      <c r="G495">
        <v>24</v>
      </c>
      <c r="H495" s="11">
        <v>812000</v>
      </c>
      <c r="I495" s="10">
        <v>2.1343950988284801</v>
      </c>
    </row>
    <row r="496" spans="2:9" x14ac:dyDescent="0.25">
      <c r="B496" t="s">
        <v>943</v>
      </c>
      <c r="C496" s="9" t="s">
        <v>944</v>
      </c>
      <c r="D496" s="9" t="s">
        <v>20</v>
      </c>
      <c r="E496" s="9" t="s">
        <v>84</v>
      </c>
      <c r="F496" t="s">
        <v>1668</v>
      </c>
      <c r="G496">
        <v>25</v>
      </c>
      <c r="H496" s="11">
        <v>750000</v>
      </c>
      <c r="I496" s="10">
        <v>2.13234251646483</v>
      </c>
    </row>
    <row r="497" spans="2:9" x14ac:dyDescent="0.25">
      <c r="B497" t="s">
        <v>1137</v>
      </c>
      <c r="C497" s="9" t="s">
        <v>1138</v>
      </c>
      <c r="D497" s="9" t="s">
        <v>101</v>
      </c>
      <c r="E497" s="9" t="s">
        <v>21</v>
      </c>
      <c r="F497" t="s">
        <v>1668</v>
      </c>
      <c r="G497">
        <v>27</v>
      </c>
      <c r="H497" s="11">
        <v>778000</v>
      </c>
      <c r="I497" s="10">
        <v>2.1301146974447902</v>
      </c>
    </row>
    <row r="498" spans="2:9" x14ac:dyDescent="0.25">
      <c r="B498" t="s">
        <v>1087</v>
      </c>
      <c r="C498" s="9" t="s">
        <v>1088</v>
      </c>
      <c r="D498" s="9" t="s">
        <v>36</v>
      </c>
      <c r="E498" s="9" t="s">
        <v>17</v>
      </c>
      <c r="F498" t="s">
        <v>1668</v>
      </c>
      <c r="G498">
        <v>29</v>
      </c>
      <c r="H498" s="11">
        <v>750000</v>
      </c>
      <c r="I498" s="10">
        <v>2.1276191292278201</v>
      </c>
    </row>
    <row r="499" spans="2:9" x14ac:dyDescent="0.25">
      <c r="B499" t="s">
        <v>1544</v>
      </c>
      <c r="C499" s="9" t="s">
        <v>1611</v>
      </c>
      <c r="D499" s="9" t="s">
        <v>81</v>
      </c>
      <c r="E499" s="9" t="s">
        <v>84</v>
      </c>
      <c r="F499" t="s">
        <v>1668</v>
      </c>
      <c r="G499">
        <v>23</v>
      </c>
      <c r="H499" s="11">
        <v>1058000</v>
      </c>
      <c r="I499" s="10">
        <v>2.1266839734101799</v>
      </c>
    </row>
    <row r="500" spans="2:9" x14ac:dyDescent="0.25">
      <c r="B500" t="s">
        <v>1125</v>
      </c>
      <c r="C500" s="9" t="s">
        <v>1126</v>
      </c>
      <c r="D500" s="9" t="s">
        <v>13</v>
      </c>
      <c r="E500" s="9" t="s">
        <v>10</v>
      </c>
      <c r="F500" t="s">
        <v>1668</v>
      </c>
      <c r="G500">
        <v>30</v>
      </c>
      <c r="H500" s="11">
        <v>750000</v>
      </c>
      <c r="I500" s="10">
        <v>2.1244879450594798</v>
      </c>
    </row>
    <row r="501" spans="2:9" x14ac:dyDescent="0.25">
      <c r="B501" t="s">
        <v>953</v>
      </c>
      <c r="C501" s="9" t="s">
        <v>954</v>
      </c>
      <c r="D501" s="9" t="s">
        <v>46</v>
      </c>
      <c r="E501" s="9" t="s">
        <v>37</v>
      </c>
      <c r="F501" t="s">
        <v>1668</v>
      </c>
      <c r="G501">
        <v>26</v>
      </c>
      <c r="H501" s="11">
        <v>1167000</v>
      </c>
      <c r="I501" s="10">
        <v>2.1216769948002301</v>
      </c>
    </row>
    <row r="502" spans="2:9" x14ac:dyDescent="0.25">
      <c r="B502" t="s">
        <v>1298</v>
      </c>
      <c r="C502" s="9" t="s">
        <v>1299</v>
      </c>
      <c r="D502" s="9" t="s">
        <v>36</v>
      </c>
      <c r="E502" s="9" t="s">
        <v>84</v>
      </c>
      <c r="F502" t="s">
        <v>1668</v>
      </c>
      <c r="G502">
        <v>33</v>
      </c>
      <c r="H502" s="11">
        <v>750000</v>
      </c>
      <c r="I502" s="10">
        <v>2.1157084360575502</v>
      </c>
    </row>
    <row r="503" spans="2:9" x14ac:dyDescent="0.25">
      <c r="B503" t="s">
        <v>1287</v>
      </c>
      <c r="C503" s="9" t="s">
        <v>1288</v>
      </c>
      <c r="D503" s="9" t="s">
        <v>153</v>
      </c>
      <c r="E503" s="9" t="s">
        <v>43</v>
      </c>
      <c r="F503" t="s">
        <v>1668</v>
      </c>
      <c r="G503">
        <v>31</v>
      </c>
      <c r="H503" s="11">
        <v>1421000</v>
      </c>
      <c r="I503" s="10">
        <v>2.1038067643073699</v>
      </c>
    </row>
    <row r="504" spans="2:9" x14ac:dyDescent="0.25">
      <c r="B504" t="s">
        <v>1543</v>
      </c>
      <c r="C504" s="9" t="s">
        <v>1610</v>
      </c>
      <c r="D504" s="9" t="s">
        <v>36</v>
      </c>
      <c r="E504" s="9" t="s">
        <v>84</v>
      </c>
      <c r="F504" t="s">
        <v>1668</v>
      </c>
      <c r="G504">
        <v>27</v>
      </c>
      <c r="H504" s="11">
        <v>1100000</v>
      </c>
      <c r="I504" s="10">
        <v>2.0896007282558702</v>
      </c>
    </row>
    <row r="505" spans="2:9" x14ac:dyDescent="0.25">
      <c r="B505" t="s">
        <v>819</v>
      </c>
      <c r="C505" s="9" t="s">
        <v>820</v>
      </c>
      <c r="D505" s="9" t="s">
        <v>101</v>
      </c>
      <c r="E505" s="9" t="s">
        <v>84</v>
      </c>
      <c r="F505" t="s">
        <v>1668</v>
      </c>
      <c r="G505">
        <v>25</v>
      </c>
      <c r="H505" s="11">
        <v>750000</v>
      </c>
      <c r="I505" s="10">
        <v>2.0833978344041002</v>
      </c>
    </row>
    <row r="506" spans="2:9" x14ac:dyDescent="0.25">
      <c r="B506" t="s">
        <v>1565</v>
      </c>
      <c r="C506" s="9" t="s">
        <v>1633</v>
      </c>
      <c r="D506" s="9" t="s">
        <v>153</v>
      </c>
      <c r="E506" s="9" t="s">
        <v>84</v>
      </c>
      <c r="F506" t="s">
        <v>1668</v>
      </c>
      <c r="G506">
        <v>25</v>
      </c>
      <c r="H506" s="11">
        <v>750000</v>
      </c>
      <c r="I506" s="10">
        <v>2.0823114558746298</v>
      </c>
    </row>
    <row r="507" spans="2:9" x14ac:dyDescent="0.25">
      <c r="B507" t="s">
        <v>947</v>
      </c>
      <c r="C507" s="9" t="s">
        <v>948</v>
      </c>
      <c r="D507" s="9" t="s">
        <v>24</v>
      </c>
      <c r="E507" s="9" t="s">
        <v>21</v>
      </c>
      <c r="F507" t="s">
        <v>1668</v>
      </c>
      <c r="G507">
        <v>29</v>
      </c>
      <c r="H507" s="11">
        <v>880000</v>
      </c>
      <c r="I507" s="10">
        <v>2.0769498443659602</v>
      </c>
    </row>
    <row r="508" spans="2:9" x14ac:dyDescent="0.25">
      <c r="B508" t="s">
        <v>681</v>
      </c>
      <c r="C508" s="9" t="s">
        <v>682</v>
      </c>
      <c r="D508" s="9" t="s">
        <v>72</v>
      </c>
      <c r="E508" s="9" t="s">
        <v>84</v>
      </c>
      <c r="F508" t="s">
        <v>1668</v>
      </c>
      <c r="G508">
        <v>25</v>
      </c>
      <c r="H508" s="11">
        <v>750000</v>
      </c>
      <c r="I508" s="10">
        <v>2.0625972203998302</v>
      </c>
    </row>
    <row r="509" spans="2:9" x14ac:dyDescent="0.25">
      <c r="B509" t="s">
        <v>737</v>
      </c>
      <c r="C509" s="9" t="s">
        <v>738</v>
      </c>
      <c r="D509" s="9" t="s">
        <v>170</v>
      </c>
      <c r="E509" s="9" t="s">
        <v>84</v>
      </c>
      <c r="F509" t="s">
        <v>1668</v>
      </c>
      <c r="G509">
        <v>32</v>
      </c>
      <c r="H509" s="11">
        <v>750000</v>
      </c>
      <c r="I509" s="10">
        <v>2.0451818969533302</v>
      </c>
    </row>
    <row r="510" spans="2:9" x14ac:dyDescent="0.25">
      <c r="B510" t="s">
        <v>1111</v>
      </c>
      <c r="C510" s="9" t="s">
        <v>1112</v>
      </c>
      <c r="D510" s="9" t="s">
        <v>24</v>
      </c>
      <c r="E510" s="9" t="s">
        <v>37</v>
      </c>
      <c r="F510" t="s">
        <v>1668</v>
      </c>
      <c r="G510">
        <v>32</v>
      </c>
      <c r="H510" s="11">
        <v>863000</v>
      </c>
      <c r="I510" s="10">
        <v>2.0377073623258402</v>
      </c>
    </row>
    <row r="511" spans="2:9" x14ac:dyDescent="0.25">
      <c r="B511" t="s">
        <v>813</v>
      </c>
      <c r="C511" s="9" t="s">
        <v>814</v>
      </c>
      <c r="D511" s="9" t="s">
        <v>150</v>
      </c>
      <c r="E511" s="9" t="s">
        <v>84</v>
      </c>
      <c r="F511" t="s">
        <v>1668</v>
      </c>
      <c r="G511">
        <v>25</v>
      </c>
      <c r="H511" s="11">
        <v>868000</v>
      </c>
      <c r="I511" s="10">
        <v>2.0290189980943301</v>
      </c>
    </row>
    <row r="512" spans="2:9" x14ac:dyDescent="0.25">
      <c r="B512" t="s">
        <v>1553</v>
      </c>
      <c r="C512" s="9" t="s">
        <v>1620</v>
      </c>
      <c r="D512" s="9" t="s">
        <v>153</v>
      </c>
      <c r="E512" s="9" t="s">
        <v>84</v>
      </c>
      <c r="F512" t="s">
        <v>1668</v>
      </c>
      <c r="G512">
        <v>25</v>
      </c>
      <c r="H512" s="11">
        <v>750000</v>
      </c>
      <c r="I512" s="10">
        <v>2.0237606456855901</v>
      </c>
    </row>
    <row r="513" spans="2:9" x14ac:dyDescent="0.25">
      <c r="B513" t="s">
        <v>1552</v>
      </c>
      <c r="C513" s="9" t="s">
        <v>1619</v>
      </c>
      <c r="D513" s="9" t="s">
        <v>78</v>
      </c>
      <c r="E513" s="9" t="s">
        <v>84</v>
      </c>
      <c r="F513" t="s">
        <v>1668</v>
      </c>
      <c r="G513">
        <v>28</v>
      </c>
      <c r="H513" s="11">
        <v>750000</v>
      </c>
      <c r="I513" s="10">
        <v>2.0191580679148098</v>
      </c>
    </row>
    <row r="514" spans="2:9" x14ac:dyDescent="0.25">
      <c r="B514" t="s">
        <v>661</v>
      </c>
      <c r="C514" s="9" t="s">
        <v>662</v>
      </c>
      <c r="D514" s="9" t="s">
        <v>107</v>
      </c>
      <c r="E514" s="9" t="s">
        <v>84</v>
      </c>
      <c r="F514" t="s">
        <v>1668</v>
      </c>
      <c r="G514">
        <v>37</v>
      </c>
      <c r="H514" s="11">
        <v>750000</v>
      </c>
      <c r="I514" s="10">
        <v>2.00967813675758</v>
      </c>
    </row>
    <row r="515" spans="2:9" x14ac:dyDescent="0.25">
      <c r="B515" t="s">
        <v>1247</v>
      </c>
      <c r="C515" s="9" t="s">
        <v>1248</v>
      </c>
      <c r="D515" s="9" t="s">
        <v>242</v>
      </c>
      <c r="E515" s="9" t="s">
        <v>17</v>
      </c>
      <c r="F515" t="s">
        <v>1668</v>
      </c>
      <c r="G515">
        <v>31</v>
      </c>
      <c r="H515" s="11">
        <v>1380000</v>
      </c>
      <c r="I515" s="10">
        <v>2.0020810310776098</v>
      </c>
    </row>
    <row r="516" spans="2:9" x14ac:dyDescent="0.25">
      <c r="B516" t="s">
        <v>1223</v>
      </c>
      <c r="C516" s="9" t="s">
        <v>1224</v>
      </c>
      <c r="D516" s="9" t="s">
        <v>96</v>
      </c>
      <c r="E516" s="9" t="s">
        <v>84</v>
      </c>
      <c r="F516" t="s">
        <v>1668</v>
      </c>
      <c r="G516">
        <v>34</v>
      </c>
      <c r="H516" s="11">
        <v>788000</v>
      </c>
      <c r="I516" s="10">
        <v>2.0010401568157499</v>
      </c>
    </row>
    <row r="517" spans="2:9" x14ac:dyDescent="0.25">
      <c r="B517" t="s">
        <v>787</v>
      </c>
      <c r="C517" s="9" t="s">
        <v>788</v>
      </c>
      <c r="D517" s="9" t="s">
        <v>13</v>
      </c>
      <c r="E517" s="9" t="s">
        <v>84</v>
      </c>
      <c r="F517" t="s">
        <v>1668</v>
      </c>
      <c r="G517">
        <v>33</v>
      </c>
      <c r="H517" s="11">
        <v>750000</v>
      </c>
      <c r="I517" s="10">
        <v>1.9972866951145001</v>
      </c>
    </row>
    <row r="518" spans="2:9" x14ac:dyDescent="0.25">
      <c r="B518" t="s">
        <v>617</v>
      </c>
      <c r="C518" s="9" t="s">
        <v>618</v>
      </c>
      <c r="D518" s="9" t="s">
        <v>75</v>
      </c>
      <c r="E518" s="9" t="s">
        <v>10</v>
      </c>
      <c r="F518" t="s">
        <v>1668</v>
      </c>
      <c r="G518">
        <v>23</v>
      </c>
      <c r="H518" s="11">
        <v>750000</v>
      </c>
      <c r="I518" s="10">
        <v>1.9958025266900501</v>
      </c>
    </row>
    <row r="519" spans="2:9" x14ac:dyDescent="0.25">
      <c r="B519" t="s">
        <v>1322</v>
      </c>
      <c r="C519" s="9" t="s">
        <v>1323</v>
      </c>
      <c r="D519" s="9" t="s">
        <v>114</v>
      </c>
      <c r="E519" s="9" t="s">
        <v>17</v>
      </c>
      <c r="F519" t="s">
        <v>1668</v>
      </c>
      <c r="G519">
        <v>31</v>
      </c>
      <c r="H519" s="11">
        <v>750000</v>
      </c>
      <c r="I519" s="10">
        <v>1.99502620563794</v>
      </c>
    </row>
    <row r="520" spans="2:9" x14ac:dyDescent="0.25">
      <c r="B520" t="s">
        <v>879</v>
      </c>
      <c r="C520" s="9" t="s">
        <v>880</v>
      </c>
      <c r="D520" s="9" t="s">
        <v>96</v>
      </c>
      <c r="E520" s="9" t="s">
        <v>84</v>
      </c>
      <c r="F520" t="s">
        <v>1668</v>
      </c>
      <c r="G520">
        <v>27</v>
      </c>
      <c r="H520" s="11">
        <v>750000</v>
      </c>
      <c r="I520" s="10">
        <v>1.9873583478996399</v>
      </c>
    </row>
    <row r="521" spans="2:9" x14ac:dyDescent="0.25">
      <c r="B521" t="s">
        <v>975</v>
      </c>
      <c r="C521" s="9" t="s">
        <v>976</v>
      </c>
      <c r="D521" s="9" t="s">
        <v>13</v>
      </c>
      <c r="E521" s="9" t="s">
        <v>43</v>
      </c>
      <c r="F521" t="s">
        <v>1668</v>
      </c>
      <c r="G521">
        <v>27</v>
      </c>
      <c r="H521" s="11">
        <v>750000</v>
      </c>
      <c r="I521" s="10">
        <v>1.9845152859488799</v>
      </c>
    </row>
    <row r="522" spans="2:9" x14ac:dyDescent="0.25">
      <c r="B522" t="s">
        <v>1079</v>
      </c>
      <c r="C522" s="9" t="s">
        <v>1080</v>
      </c>
      <c r="D522" s="9" t="s">
        <v>13</v>
      </c>
      <c r="E522" s="9" t="s">
        <v>84</v>
      </c>
      <c r="F522" t="s">
        <v>1668</v>
      </c>
      <c r="G522">
        <v>31</v>
      </c>
      <c r="H522" s="11">
        <v>750000</v>
      </c>
      <c r="I522" s="10">
        <v>1.9830708673014401</v>
      </c>
    </row>
    <row r="523" spans="2:9" x14ac:dyDescent="0.25">
      <c r="B523" t="s">
        <v>995</v>
      </c>
      <c r="C523" s="9" t="s">
        <v>996</v>
      </c>
      <c r="D523" s="9" t="s">
        <v>131</v>
      </c>
      <c r="E523" s="9" t="s">
        <v>84</v>
      </c>
      <c r="F523" t="s">
        <v>1668</v>
      </c>
      <c r="G523">
        <v>26</v>
      </c>
      <c r="H523" s="11">
        <v>750000</v>
      </c>
      <c r="I523" s="10">
        <v>1.9827777104970401</v>
      </c>
    </row>
    <row r="524" spans="2:9" x14ac:dyDescent="0.25">
      <c r="B524" t="s">
        <v>903</v>
      </c>
      <c r="C524" s="9" t="s">
        <v>904</v>
      </c>
      <c r="D524" s="9" t="s">
        <v>139</v>
      </c>
      <c r="E524" s="9" t="s">
        <v>84</v>
      </c>
      <c r="F524" t="s">
        <v>1668</v>
      </c>
      <c r="G524">
        <v>25</v>
      </c>
      <c r="H524" s="11">
        <v>1057000</v>
      </c>
      <c r="I524" s="10">
        <v>1.9769410480745599</v>
      </c>
    </row>
    <row r="525" spans="2:9" x14ac:dyDescent="0.25">
      <c r="B525" t="s">
        <v>925</v>
      </c>
      <c r="C525" s="9" t="s">
        <v>926</v>
      </c>
      <c r="D525" s="9" t="s">
        <v>24</v>
      </c>
      <c r="E525" s="9" t="s">
        <v>30</v>
      </c>
      <c r="F525" t="s">
        <v>1668</v>
      </c>
      <c r="G525">
        <v>30</v>
      </c>
      <c r="H525" s="11">
        <v>750000</v>
      </c>
      <c r="I525" s="10">
        <v>1.95075009407528</v>
      </c>
    </row>
    <row r="526" spans="2:9" x14ac:dyDescent="0.25">
      <c r="B526" t="s">
        <v>977</v>
      </c>
      <c r="C526" s="9" t="s">
        <v>978</v>
      </c>
      <c r="D526" s="9" t="s">
        <v>33</v>
      </c>
      <c r="E526" s="9" t="s">
        <v>84</v>
      </c>
      <c r="F526" t="s">
        <v>1668</v>
      </c>
      <c r="G526">
        <v>34</v>
      </c>
      <c r="H526" s="11">
        <v>750000</v>
      </c>
      <c r="I526" s="10">
        <v>1.94909839130799</v>
      </c>
    </row>
    <row r="527" spans="2:9" x14ac:dyDescent="0.25">
      <c r="B527" t="s">
        <v>1265</v>
      </c>
      <c r="C527" s="9" t="s">
        <v>1266</v>
      </c>
      <c r="D527" s="9" t="s">
        <v>87</v>
      </c>
      <c r="E527" s="9" t="s">
        <v>84</v>
      </c>
      <c r="F527" t="s">
        <v>1668</v>
      </c>
      <c r="G527">
        <v>26</v>
      </c>
      <c r="H527" s="11">
        <v>750000</v>
      </c>
      <c r="I527" s="10">
        <v>1.9449169943157101</v>
      </c>
    </row>
    <row r="528" spans="2:9" x14ac:dyDescent="0.25">
      <c r="B528" t="s">
        <v>1249</v>
      </c>
      <c r="C528" s="9" t="s">
        <v>1250</v>
      </c>
      <c r="D528" s="9" t="s">
        <v>104</v>
      </c>
      <c r="E528" s="9" t="s">
        <v>84</v>
      </c>
      <c r="F528" t="s">
        <v>1668</v>
      </c>
      <c r="G528">
        <v>27</v>
      </c>
      <c r="H528" s="11">
        <v>773000</v>
      </c>
      <c r="I528" s="10">
        <v>1.9370993257723399</v>
      </c>
    </row>
    <row r="529" spans="2:9" x14ac:dyDescent="0.25">
      <c r="B529" t="s">
        <v>871</v>
      </c>
      <c r="C529" s="9" t="s">
        <v>872</v>
      </c>
      <c r="D529" s="9" t="s">
        <v>139</v>
      </c>
      <c r="E529" s="9" t="s">
        <v>84</v>
      </c>
      <c r="F529" t="s">
        <v>1668</v>
      </c>
      <c r="G529">
        <v>24</v>
      </c>
      <c r="H529" s="11">
        <v>750000</v>
      </c>
      <c r="I529" s="10">
        <v>1.9361621430147999</v>
      </c>
    </row>
    <row r="530" spans="2:9" x14ac:dyDescent="0.25">
      <c r="B530" t="s">
        <v>1209</v>
      </c>
      <c r="C530" s="9" t="s">
        <v>1210</v>
      </c>
      <c r="D530" s="9" t="s">
        <v>33</v>
      </c>
      <c r="E530" s="9" t="s">
        <v>30</v>
      </c>
      <c r="F530" t="s">
        <v>1668</v>
      </c>
      <c r="G530">
        <v>32</v>
      </c>
      <c r="H530" s="11">
        <v>1029000</v>
      </c>
      <c r="I530" s="10">
        <v>1.93437875260729</v>
      </c>
    </row>
    <row r="531" spans="2:9" x14ac:dyDescent="0.25">
      <c r="B531" t="s">
        <v>1063</v>
      </c>
      <c r="C531" s="9" t="s">
        <v>1064</v>
      </c>
      <c r="D531" s="9" t="s">
        <v>107</v>
      </c>
      <c r="E531" s="9" t="s">
        <v>21</v>
      </c>
      <c r="F531" t="s">
        <v>1668</v>
      </c>
      <c r="G531">
        <v>27</v>
      </c>
      <c r="H531" s="11">
        <v>750000</v>
      </c>
      <c r="I531" s="10">
        <v>1.9337747162514001</v>
      </c>
    </row>
    <row r="532" spans="2:9" x14ac:dyDescent="0.25">
      <c r="B532" t="s">
        <v>607</v>
      </c>
      <c r="C532" s="9" t="s">
        <v>608</v>
      </c>
      <c r="D532" s="9" t="s">
        <v>13</v>
      </c>
      <c r="E532" s="9" t="s">
        <v>17</v>
      </c>
      <c r="F532" t="s">
        <v>1668</v>
      </c>
      <c r="G532">
        <v>36</v>
      </c>
      <c r="H532" s="11">
        <v>887000</v>
      </c>
      <c r="I532" s="10">
        <v>1.9312205537874201</v>
      </c>
    </row>
    <row r="533" spans="2:9" x14ac:dyDescent="0.25">
      <c r="B533" t="s">
        <v>901</v>
      </c>
      <c r="C533" s="9" t="s">
        <v>902</v>
      </c>
      <c r="D533" s="9" t="s">
        <v>107</v>
      </c>
      <c r="E533" s="9" t="s">
        <v>17</v>
      </c>
      <c r="F533" t="s">
        <v>1668</v>
      </c>
      <c r="G533">
        <v>24</v>
      </c>
      <c r="H533" s="11">
        <v>750000</v>
      </c>
      <c r="I533" s="10">
        <v>1.9221834051279201</v>
      </c>
    </row>
    <row r="534" spans="2:9" x14ac:dyDescent="0.25">
      <c r="B534" t="s">
        <v>1175</v>
      </c>
      <c r="C534" s="9" t="s">
        <v>1176</v>
      </c>
      <c r="D534" s="9" t="s">
        <v>20</v>
      </c>
      <c r="E534" s="9" t="s">
        <v>30</v>
      </c>
      <c r="F534" t="s">
        <v>1668</v>
      </c>
      <c r="G534">
        <v>26</v>
      </c>
      <c r="H534" s="11">
        <v>1149000</v>
      </c>
      <c r="I534" s="10">
        <v>1.9210485183436801</v>
      </c>
    </row>
    <row r="535" spans="2:9" x14ac:dyDescent="0.25">
      <c r="B535" t="s">
        <v>1269</v>
      </c>
      <c r="C535" s="9" t="s">
        <v>1270</v>
      </c>
      <c r="D535" s="9" t="s">
        <v>46</v>
      </c>
      <c r="E535" s="9" t="s">
        <v>84</v>
      </c>
      <c r="F535" t="s">
        <v>1668</v>
      </c>
      <c r="G535">
        <v>29</v>
      </c>
      <c r="H535" s="11">
        <v>750000</v>
      </c>
      <c r="I535" s="10">
        <v>1.8988490041938599</v>
      </c>
    </row>
    <row r="536" spans="2:9" x14ac:dyDescent="0.25">
      <c r="B536" t="s">
        <v>1099</v>
      </c>
      <c r="C536" s="9" t="s">
        <v>1100</v>
      </c>
      <c r="D536" s="9" t="s">
        <v>33</v>
      </c>
      <c r="E536" s="9" t="s">
        <v>84</v>
      </c>
      <c r="F536" t="s">
        <v>1668</v>
      </c>
      <c r="G536">
        <v>26</v>
      </c>
      <c r="H536" s="11">
        <v>778000</v>
      </c>
      <c r="I536" s="10">
        <v>1.8980338754558099</v>
      </c>
    </row>
    <row r="537" spans="2:9" x14ac:dyDescent="0.25">
      <c r="B537" t="s">
        <v>1207</v>
      </c>
      <c r="C537" s="9" t="s">
        <v>1208</v>
      </c>
      <c r="D537" s="9" t="s">
        <v>46</v>
      </c>
      <c r="E537" s="9" t="s">
        <v>84</v>
      </c>
      <c r="F537" t="s">
        <v>1668</v>
      </c>
      <c r="G537">
        <v>27</v>
      </c>
      <c r="H537" s="11">
        <v>936000</v>
      </c>
      <c r="I537" s="10">
        <v>1.8715859624245399</v>
      </c>
    </row>
    <row r="538" spans="2:9" x14ac:dyDescent="0.25">
      <c r="B538" t="s">
        <v>1340</v>
      </c>
      <c r="C538" s="9" t="s">
        <v>1341</v>
      </c>
      <c r="D538" s="9" t="s">
        <v>24</v>
      </c>
      <c r="E538" s="9" t="s">
        <v>84</v>
      </c>
      <c r="F538" t="s">
        <v>1668</v>
      </c>
      <c r="G538">
        <v>31</v>
      </c>
      <c r="H538" s="11">
        <v>750000</v>
      </c>
      <c r="I538" s="10">
        <v>1.8695456439529601</v>
      </c>
    </row>
    <row r="539" spans="2:9" x14ac:dyDescent="0.25">
      <c r="B539" t="s">
        <v>1546</v>
      </c>
      <c r="C539" s="9" t="s">
        <v>1613</v>
      </c>
      <c r="D539" s="9" t="s">
        <v>236</v>
      </c>
      <c r="E539" s="9" t="s">
        <v>84</v>
      </c>
      <c r="F539" t="s">
        <v>1668</v>
      </c>
      <c r="G539">
        <v>24</v>
      </c>
      <c r="H539" s="11">
        <v>927000</v>
      </c>
      <c r="I539" s="10">
        <v>1.8610638654975</v>
      </c>
    </row>
    <row r="540" spans="2:9" x14ac:dyDescent="0.25">
      <c r="B540" t="s">
        <v>939</v>
      </c>
      <c r="C540" s="9" t="s">
        <v>940</v>
      </c>
      <c r="D540" s="9" t="s">
        <v>72</v>
      </c>
      <c r="E540" s="9" t="s">
        <v>17</v>
      </c>
      <c r="F540" t="s">
        <v>1668</v>
      </c>
      <c r="G540">
        <v>29</v>
      </c>
      <c r="H540" s="11">
        <v>962000</v>
      </c>
      <c r="I540" s="10">
        <v>1.8111843784135</v>
      </c>
    </row>
    <row r="541" spans="2:9" x14ac:dyDescent="0.25">
      <c r="B541" t="s">
        <v>1574</v>
      </c>
      <c r="C541" s="9" t="s">
        <v>1643</v>
      </c>
      <c r="D541" s="9" t="s">
        <v>78</v>
      </c>
      <c r="E541" s="9" t="s">
        <v>43</v>
      </c>
      <c r="F541" t="s">
        <v>1668</v>
      </c>
      <c r="G541">
        <v>24</v>
      </c>
      <c r="H541" s="11">
        <v>750000</v>
      </c>
      <c r="I541" s="10">
        <v>1.81085758184152</v>
      </c>
    </row>
    <row r="542" spans="2:9" x14ac:dyDescent="0.25">
      <c r="B542" t="s">
        <v>1055</v>
      </c>
      <c r="C542" s="9" t="s">
        <v>1056</v>
      </c>
      <c r="D542" s="9" t="s">
        <v>16</v>
      </c>
      <c r="E542" s="9" t="s">
        <v>21</v>
      </c>
      <c r="F542" t="s">
        <v>1668</v>
      </c>
      <c r="G542">
        <v>26</v>
      </c>
      <c r="H542" s="11">
        <v>1053000</v>
      </c>
      <c r="I542" s="10">
        <v>1.8091467755591</v>
      </c>
    </row>
    <row r="543" spans="2:9" x14ac:dyDescent="0.25">
      <c r="B543" t="s">
        <v>1241</v>
      </c>
      <c r="C543" s="9" t="s">
        <v>1242</v>
      </c>
      <c r="D543" s="9" t="s">
        <v>53</v>
      </c>
      <c r="E543" s="9" t="s">
        <v>84</v>
      </c>
      <c r="F543" t="s">
        <v>1668</v>
      </c>
      <c r="G543">
        <v>27</v>
      </c>
      <c r="H543" s="11">
        <v>750000</v>
      </c>
      <c r="I543" s="10">
        <v>1.8049133302178799</v>
      </c>
    </row>
    <row r="544" spans="2:9" x14ac:dyDescent="0.25">
      <c r="B544" t="s">
        <v>1037</v>
      </c>
      <c r="C544" s="9" t="s">
        <v>1038</v>
      </c>
      <c r="D544" s="9" t="s">
        <v>242</v>
      </c>
      <c r="E544" s="9" t="s">
        <v>10</v>
      </c>
      <c r="F544" t="s">
        <v>1668</v>
      </c>
      <c r="G544">
        <v>25</v>
      </c>
      <c r="H544" s="11">
        <v>959000</v>
      </c>
      <c r="I544" s="10">
        <v>1.8026636554976201</v>
      </c>
    </row>
    <row r="545" spans="2:9" x14ac:dyDescent="0.25">
      <c r="B545" t="s">
        <v>1003</v>
      </c>
      <c r="C545" s="9" t="s">
        <v>1004</v>
      </c>
      <c r="D545" s="9" t="s">
        <v>128</v>
      </c>
      <c r="E545" s="9" t="s">
        <v>30</v>
      </c>
      <c r="F545" t="s">
        <v>1668</v>
      </c>
      <c r="G545">
        <v>25</v>
      </c>
      <c r="H545" s="11">
        <v>819000</v>
      </c>
      <c r="I545" s="10">
        <v>1.8004141548539601</v>
      </c>
    </row>
    <row r="546" spans="2:9" x14ac:dyDescent="0.25">
      <c r="B546" t="s">
        <v>1227</v>
      </c>
      <c r="C546" s="9" t="s">
        <v>1228</v>
      </c>
      <c r="D546" s="9" t="s">
        <v>101</v>
      </c>
      <c r="E546" s="9" t="s">
        <v>43</v>
      </c>
      <c r="F546" t="s">
        <v>1668</v>
      </c>
      <c r="G546">
        <v>32</v>
      </c>
      <c r="H546" s="11">
        <v>962000</v>
      </c>
      <c r="I546" s="10">
        <v>1.7843059295495001</v>
      </c>
    </row>
    <row r="547" spans="2:9" x14ac:dyDescent="0.25">
      <c r="B547" t="s">
        <v>1253</v>
      </c>
      <c r="C547" s="9" t="s">
        <v>1254</v>
      </c>
      <c r="D547" s="9" t="s">
        <v>9</v>
      </c>
      <c r="E547" s="9" t="s">
        <v>43</v>
      </c>
      <c r="F547" t="s">
        <v>1668</v>
      </c>
      <c r="G547">
        <v>29</v>
      </c>
      <c r="H547" s="11">
        <v>1415000</v>
      </c>
      <c r="I547" s="10">
        <v>1.7723741183822601</v>
      </c>
    </row>
    <row r="548" spans="2:9" x14ac:dyDescent="0.25">
      <c r="B548" t="s">
        <v>1001</v>
      </c>
      <c r="C548" s="9" t="s">
        <v>1002</v>
      </c>
      <c r="D548" s="9" t="s">
        <v>153</v>
      </c>
      <c r="E548" s="9" t="s">
        <v>84</v>
      </c>
      <c r="F548" t="s">
        <v>1668</v>
      </c>
      <c r="G548">
        <v>40</v>
      </c>
      <c r="H548" s="11">
        <v>1055000</v>
      </c>
      <c r="I548" s="10">
        <v>1.76946888809027</v>
      </c>
    </row>
    <row r="549" spans="2:9" x14ac:dyDescent="0.25">
      <c r="B549" t="s">
        <v>1304</v>
      </c>
      <c r="C549" s="9" t="s">
        <v>1305</v>
      </c>
      <c r="D549" s="9" t="s">
        <v>139</v>
      </c>
      <c r="E549" s="9" t="s">
        <v>84</v>
      </c>
      <c r="F549" t="s">
        <v>1668</v>
      </c>
      <c r="G549">
        <v>27</v>
      </c>
      <c r="H549" s="11">
        <v>750000</v>
      </c>
      <c r="I549" s="10">
        <v>1.75867656505081</v>
      </c>
    </row>
    <row r="550" spans="2:9" x14ac:dyDescent="0.25">
      <c r="B550" t="s">
        <v>823</v>
      </c>
      <c r="C550" s="9" t="s">
        <v>824</v>
      </c>
      <c r="D550" s="9" t="s">
        <v>40</v>
      </c>
      <c r="E550" s="9" t="s">
        <v>17</v>
      </c>
      <c r="F550" t="s">
        <v>1668</v>
      </c>
      <c r="G550">
        <v>29</v>
      </c>
      <c r="H550" s="11">
        <v>750000</v>
      </c>
      <c r="I550" s="10">
        <v>1.7545578764716601</v>
      </c>
    </row>
    <row r="551" spans="2:9" x14ac:dyDescent="0.25">
      <c r="B551" t="s">
        <v>1083</v>
      </c>
      <c r="C551" s="9" t="s">
        <v>1084</v>
      </c>
      <c r="D551" s="9" t="s">
        <v>150</v>
      </c>
      <c r="E551" s="9" t="s">
        <v>84</v>
      </c>
      <c r="F551" t="s">
        <v>1668</v>
      </c>
      <c r="G551">
        <v>28</v>
      </c>
      <c r="H551" s="11">
        <v>750000</v>
      </c>
      <c r="I551" s="10">
        <v>1.7524212766485801</v>
      </c>
    </row>
    <row r="552" spans="2:9" x14ac:dyDescent="0.25">
      <c r="B552" t="s">
        <v>1219</v>
      </c>
      <c r="C552" s="9" t="s">
        <v>1220</v>
      </c>
      <c r="D552" s="9" t="s">
        <v>46</v>
      </c>
      <c r="E552" s="9" t="s">
        <v>10</v>
      </c>
      <c r="F552" t="s">
        <v>1668</v>
      </c>
      <c r="G552">
        <v>25</v>
      </c>
      <c r="H552" s="11">
        <v>750000</v>
      </c>
      <c r="I552" s="10">
        <v>1.73426003419615</v>
      </c>
    </row>
    <row r="553" spans="2:9" x14ac:dyDescent="0.25">
      <c r="B553" t="s">
        <v>1095</v>
      </c>
      <c r="C553" s="9" t="s">
        <v>1096</v>
      </c>
      <c r="D553" s="9" t="s">
        <v>242</v>
      </c>
      <c r="E553" s="9" t="s">
        <v>21</v>
      </c>
      <c r="F553" t="s">
        <v>1668</v>
      </c>
      <c r="G553">
        <v>30</v>
      </c>
      <c r="H553" s="11">
        <v>750000</v>
      </c>
      <c r="I553" s="10">
        <v>1.7228057500403899</v>
      </c>
    </row>
    <row r="554" spans="2:9" x14ac:dyDescent="0.25">
      <c r="B554" t="s">
        <v>1199</v>
      </c>
      <c r="C554" s="9" t="s">
        <v>1200</v>
      </c>
      <c r="D554" s="9" t="s">
        <v>104</v>
      </c>
      <c r="E554" s="9" t="s">
        <v>84</v>
      </c>
      <c r="F554" t="s">
        <v>1668</v>
      </c>
      <c r="G554">
        <v>26</v>
      </c>
      <c r="H554" s="11">
        <v>750000</v>
      </c>
      <c r="I554" s="10">
        <v>1.7204632163204301</v>
      </c>
    </row>
    <row r="555" spans="2:9" x14ac:dyDescent="0.25">
      <c r="B555" t="s">
        <v>1043</v>
      </c>
      <c r="C555" s="9" t="s">
        <v>1044</v>
      </c>
      <c r="D555" s="9" t="s">
        <v>78</v>
      </c>
      <c r="E555" s="9" t="s">
        <v>84</v>
      </c>
      <c r="F555" t="s">
        <v>1668</v>
      </c>
      <c r="G555">
        <v>25</v>
      </c>
      <c r="H555" s="11">
        <v>750000</v>
      </c>
      <c r="I555" s="10">
        <v>1.7176067256699701</v>
      </c>
    </row>
    <row r="556" spans="2:9" x14ac:dyDescent="0.25">
      <c r="B556" t="s">
        <v>1195</v>
      </c>
      <c r="C556" s="9" t="s">
        <v>1196</v>
      </c>
      <c r="D556" s="9" t="s">
        <v>101</v>
      </c>
      <c r="E556" s="9" t="s">
        <v>84</v>
      </c>
      <c r="F556" t="s">
        <v>1668</v>
      </c>
      <c r="G556">
        <v>24</v>
      </c>
      <c r="H556" s="11">
        <v>750000</v>
      </c>
      <c r="I556" s="10">
        <v>1.67979092194304</v>
      </c>
    </row>
    <row r="557" spans="2:9" x14ac:dyDescent="0.25">
      <c r="B557" t="s">
        <v>1139</v>
      </c>
      <c r="C557" s="9" t="s">
        <v>1140</v>
      </c>
      <c r="D557" s="9" t="s">
        <v>150</v>
      </c>
      <c r="E557" s="9" t="s">
        <v>17</v>
      </c>
      <c r="F557" t="s">
        <v>1668</v>
      </c>
      <c r="G557">
        <v>34</v>
      </c>
      <c r="H557" s="11">
        <v>750000</v>
      </c>
      <c r="I557" s="10">
        <v>1.67088204237051</v>
      </c>
    </row>
    <row r="558" spans="2:9" x14ac:dyDescent="0.25">
      <c r="B558" t="s">
        <v>1213</v>
      </c>
      <c r="C558" s="9" t="s">
        <v>1214</v>
      </c>
      <c r="D558" s="9" t="s">
        <v>107</v>
      </c>
      <c r="E558" s="9" t="s">
        <v>10</v>
      </c>
      <c r="F558" t="s">
        <v>1668</v>
      </c>
      <c r="G558">
        <v>33</v>
      </c>
      <c r="H558" s="11">
        <v>750000</v>
      </c>
      <c r="I558" s="10">
        <v>1.6695871431629401</v>
      </c>
    </row>
    <row r="559" spans="2:9" x14ac:dyDescent="0.25">
      <c r="B559" t="s">
        <v>1215</v>
      </c>
      <c r="C559" s="9" t="s">
        <v>1216</v>
      </c>
      <c r="D559" s="9" t="s">
        <v>107</v>
      </c>
      <c r="E559" s="9" t="s">
        <v>43</v>
      </c>
      <c r="F559" t="s">
        <v>1668</v>
      </c>
      <c r="G559">
        <v>26</v>
      </c>
      <c r="H559" s="11">
        <v>750000</v>
      </c>
      <c r="I559" s="10">
        <v>1.6658125120259599</v>
      </c>
    </row>
    <row r="560" spans="2:9" x14ac:dyDescent="0.25">
      <c r="B560" t="s">
        <v>963</v>
      </c>
      <c r="C560" s="9" t="s">
        <v>964</v>
      </c>
      <c r="D560" s="9" t="s">
        <v>181</v>
      </c>
      <c r="E560" s="9" t="s">
        <v>84</v>
      </c>
      <c r="F560" t="s">
        <v>1668</v>
      </c>
      <c r="G560">
        <v>35</v>
      </c>
      <c r="H560" s="11">
        <v>750000</v>
      </c>
      <c r="I560" s="10">
        <v>1.6615450176253399</v>
      </c>
    </row>
    <row r="561" spans="2:9" x14ac:dyDescent="0.25">
      <c r="B561" t="s">
        <v>1171</v>
      </c>
      <c r="C561" s="9" t="s">
        <v>1172</v>
      </c>
      <c r="D561" s="9" t="s">
        <v>16</v>
      </c>
      <c r="E561" s="9" t="s">
        <v>21</v>
      </c>
      <c r="F561" t="s">
        <v>1668</v>
      </c>
      <c r="G561">
        <v>31</v>
      </c>
      <c r="H561" s="11">
        <v>750000</v>
      </c>
      <c r="I561" s="10">
        <v>1.6552384671923399</v>
      </c>
    </row>
    <row r="562" spans="2:9" x14ac:dyDescent="0.25">
      <c r="B562" t="s">
        <v>1568</v>
      </c>
      <c r="C562" s="9" t="s">
        <v>1636</v>
      </c>
      <c r="D562" s="9" t="s">
        <v>81</v>
      </c>
      <c r="E562" s="9" t="s">
        <v>43</v>
      </c>
      <c r="F562" t="s">
        <v>1668</v>
      </c>
      <c r="G562">
        <v>26</v>
      </c>
      <c r="H562" s="11">
        <v>750000</v>
      </c>
      <c r="I562" s="10">
        <v>1.6450140387159999</v>
      </c>
    </row>
    <row r="563" spans="2:9" x14ac:dyDescent="0.25">
      <c r="B563" t="s">
        <v>979</v>
      </c>
      <c r="C563" s="9" t="s">
        <v>980</v>
      </c>
      <c r="D563" s="9" t="s">
        <v>181</v>
      </c>
      <c r="E563" s="9" t="s">
        <v>37</v>
      </c>
      <c r="F563" t="s">
        <v>1668</v>
      </c>
      <c r="G563">
        <v>31</v>
      </c>
      <c r="H563" s="11">
        <v>750000</v>
      </c>
      <c r="I563" s="10">
        <v>1.6434489379577299</v>
      </c>
    </row>
    <row r="564" spans="2:9" x14ac:dyDescent="0.25">
      <c r="B564" t="s">
        <v>1289</v>
      </c>
      <c r="C564" s="9" t="s">
        <v>1290</v>
      </c>
      <c r="D564" s="9" t="s">
        <v>117</v>
      </c>
      <c r="E564" s="9" t="s">
        <v>84</v>
      </c>
      <c r="F564" t="s">
        <v>1668</v>
      </c>
      <c r="G564">
        <v>30</v>
      </c>
      <c r="H564" s="11">
        <v>750000</v>
      </c>
      <c r="I564" s="10">
        <v>1.63225753678375</v>
      </c>
    </row>
    <row r="565" spans="2:9" x14ac:dyDescent="0.25">
      <c r="B565" t="s">
        <v>1557</v>
      </c>
      <c r="C565" s="9" t="s">
        <v>1624</v>
      </c>
      <c r="D565" s="9" t="s">
        <v>150</v>
      </c>
      <c r="E565" s="9" t="s">
        <v>84</v>
      </c>
      <c r="F565" t="s">
        <v>1668</v>
      </c>
      <c r="G565">
        <v>28</v>
      </c>
      <c r="H565" s="11">
        <v>750000</v>
      </c>
      <c r="I565" s="10">
        <v>1.6272305571779799</v>
      </c>
    </row>
    <row r="566" spans="2:9" x14ac:dyDescent="0.25">
      <c r="B566" t="s">
        <v>1143</v>
      </c>
      <c r="C566" s="9" t="s">
        <v>1144</v>
      </c>
      <c r="D566" s="9" t="s">
        <v>36</v>
      </c>
      <c r="E566" s="9" t="s">
        <v>17</v>
      </c>
      <c r="F566" t="s">
        <v>1668</v>
      </c>
      <c r="G566">
        <v>25</v>
      </c>
      <c r="H566" s="11">
        <v>750000</v>
      </c>
      <c r="I566" s="10">
        <v>1.61587967716874</v>
      </c>
    </row>
    <row r="567" spans="2:9" x14ac:dyDescent="0.25">
      <c r="B567" t="s">
        <v>1291</v>
      </c>
      <c r="C567" s="9" t="s">
        <v>1292</v>
      </c>
      <c r="D567" s="9" t="s">
        <v>13</v>
      </c>
      <c r="E567" s="9" t="s">
        <v>10</v>
      </c>
      <c r="F567" t="s">
        <v>1668</v>
      </c>
      <c r="G567">
        <v>30</v>
      </c>
      <c r="H567" s="11">
        <v>750000</v>
      </c>
      <c r="I567" s="10">
        <v>1.6120840395288301</v>
      </c>
    </row>
    <row r="568" spans="2:9" x14ac:dyDescent="0.25">
      <c r="B568" t="s">
        <v>1089</v>
      </c>
      <c r="C568" s="9" t="s">
        <v>1090</v>
      </c>
      <c r="D568" s="9" t="s">
        <v>24</v>
      </c>
      <c r="E568" s="9" t="s">
        <v>17</v>
      </c>
      <c r="F568" t="s">
        <v>1668</v>
      </c>
      <c r="G568">
        <v>27</v>
      </c>
      <c r="H568" s="11">
        <v>750000</v>
      </c>
      <c r="I568" s="10">
        <v>1.6055565837690899</v>
      </c>
    </row>
    <row r="569" spans="2:9" x14ac:dyDescent="0.25">
      <c r="B569" t="s">
        <v>1316</v>
      </c>
      <c r="C569" s="9" t="s">
        <v>1317</v>
      </c>
      <c r="D569" s="9" t="s">
        <v>75</v>
      </c>
      <c r="E569" s="9" t="s">
        <v>10</v>
      </c>
      <c r="F569" t="s">
        <v>1668</v>
      </c>
      <c r="G569">
        <v>32</v>
      </c>
      <c r="H569" s="11">
        <v>827000</v>
      </c>
      <c r="I569" s="10">
        <v>1.60114596972937</v>
      </c>
    </row>
    <row r="570" spans="2:9" x14ac:dyDescent="0.25">
      <c r="B570" t="s">
        <v>1336</v>
      </c>
      <c r="C570" s="9" t="s">
        <v>1337</v>
      </c>
      <c r="D570" s="9" t="s">
        <v>170</v>
      </c>
      <c r="E570" s="9" t="s">
        <v>10</v>
      </c>
      <c r="F570" t="s">
        <v>1668</v>
      </c>
      <c r="G570">
        <v>27</v>
      </c>
      <c r="H570" s="11">
        <v>750000</v>
      </c>
      <c r="I570" s="10">
        <v>1.5910223617647901</v>
      </c>
    </row>
    <row r="571" spans="2:9" x14ac:dyDescent="0.25">
      <c r="B571" t="s">
        <v>1015</v>
      </c>
      <c r="C571" s="9" t="s">
        <v>1016</v>
      </c>
      <c r="D571" s="9" t="s">
        <v>24</v>
      </c>
      <c r="E571" s="9" t="s">
        <v>84</v>
      </c>
      <c r="F571" t="s">
        <v>1668</v>
      </c>
      <c r="G571">
        <v>31</v>
      </c>
      <c r="H571" s="11">
        <v>750000</v>
      </c>
      <c r="I571" s="10">
        <v>1.5899583835381099</v>
      </c>
    </row>
    <row r="572" spans="2:9" x14ac:dyDescent="0.25">
      <c r="B572" t="s">
        <v>1075</v>
      </c>
      <c r="C572" s="9" t="s">
        <v>1076</v>
      </c>
      <c r="D572" s="9" t="s">
        <v>75</v>
      </c>
      <c r="E572" s="9" t="s">
        <v>10</v>
      </c>
      <c r="F572" t="s">
        <v>1668</v>
      </c>
      <c r="G572">
        <v>36</v>
      </c>
      <c r="H572" s="11">
        <v>780000</v>
      </c>
      <c r="I572" s="10">
        <v>1.5819062283983301</v>
      </c>
    </row>
    <row r="573" spans="2:9" x14ac:dyDescent="0.25">
      <c r="B573" t="s">
        <v>757</v>
      </c>
      <c r="C573" s="9" t="s">
        <v>758</v>
      </c>
      <c r="D573" s="9" t="s">
        <v>78</v>
      </c>
      <c r="E573" s="9" t="s">
        <v>43</v>
      </c>
      <c r="F573" t="s">
        <v>1668</v>
      </c>
      <c r="G573">
        <v>26</v>
      </c>
      <c r="H573" s="11">
        <v>750000</v>
      </c>
      <c r="I573" s="10">
        <v>1.58106715941561</v>
      </c>
    </row>
    <row r="574" spans="2:9" x14ac:dyDescent="0.25">
      <c r="B574" t="s">
        <v>1021</v>
      </c>
      <c r="C574" s="9" t="s">
        <v>1022</v>
      </c>
      <c r="D574" s="9" t="s">
        <v>53</v>
      </c>
      <c r="E574" s="9" t="s">
        <v>30</v>
      </c>
      <c r="F574" t="s">
        <v>1668</v>
      </c>
      <c r="G574">
        <v>38</v>
      </c>
      <c r="H574" s="11">
        <v>845000</v>
      </c>
      <c r="I574" s="10">
        <v>1.5795558485542101</v>
      </c>
    </row>
    <row r="575" spans="2:9" x14ac:dyDescent="0.25">
      <c r="B575" t="s">
        <v>1328</v>
      </c>
      <c r="C575" s="9" t="s">
        <v>1329</v>
      </c>
      <c r="D575" s="9" t="s">
        <v>16</v>
      </c>
      <c r="E575" s="9" t="s">
        <v>84</v>
      </c>
      <c r="F575" t="s">
        <v>1668</v>
      </c>
      <c r="G575">
        <v>33</v>
      </c>
      <c r="H575" s="11">
        <v>750000</v>
      </c>
      <c r="I575" s="10">
        <v>1.5758348406060101</v>
      </c>
    </row>
    <row r="576" spans="2:9" x14ac:dyDescent="0.25">
      <c r="B576" t="s">
        <v>1061</v>
      </c>
      <c r="C576" s="9" t="s">
        <v>1062</v>
      </c>
      <c r="D576" s="9" t="s">
        <v>128</v>
      </c>
      <c r="E576" s="9" t="s">
        <v>84</v>
      </c>
      <c r="F576" t="s">
        <v>1668</v>
      </c>
      <c r="G576">
        <v>35</v>
      </c>
      <c r="H576" s="11">
        <v>805000</v>
      </c>
      <c r="I576" s="10">
        <v>1.5622123391335601</v>
      </c>
    </row>
    <row r="577" spans="2:9" x14ac:dyDescent="0.25">
      <c r="B577" t="s">
        <v>1267</v>
      </c>
      <c r="C577" s="9" t="s">
        <v>1268</v>
      </c>
      <c r="D577" s="9" t="s">
        <v>78</v>
      </c>
      <c r="E577" s="9" t="s">
        <v>17</v>
      </c>
      <c r="F577" t="s">
        <v>1668</v>
      </c>
      <c r="G577">
        <v>29</v>
      </c>
      <c r="H577" s="11">
        <v>750000</v>
      </c>
      <c r="I577" s="10">
        <v>1.5526726047414701</v>
      </c>
    </row>
    <row r="578" spans="2:9" x14ac:dyDescent="0.25">
      <c r="B578" t="s">
        <v>1567</v>
      </c>
      <c r="C578" s="9" t="s">
        <v>1635</v>
      </c>
      <c r="D578" s="9" t="s">
        <v>36</v>
      </c>
      <c r="E578" s="9" t="s">
        <v>84</v>
      </c>
      <c r="F578" t="s">
        <v>1668</v>
      </c>
      <c r="G578">
        <v>25</v>
      </c>
      <c r="H578" s="11">
        <v>750000</v>
      </c>
      <c r="I578" s="10">
        <v>1.5501856433841801</v>
      </c>
    </row>
    <row r="579" spans="2:9" x14ac:dyDescent="0.25">
      <c r="B579" t="s">
        <v>1025</v>
      </c>
      <c r="C579" s="9" t="s">
        <v>1026</v>
      </c>
      <c r="D579" s="9" t="s">
        <v>33</v>
      </c>
      <c r="E579" s="9" t="s">
        <v>43</v>
      </c>
      <c r="F579" t="s">
        <v>1668</v>
      </c>
      <c r="G579">
        <v>33</v>
      </c>
      <c r="H579" s="11">
        <v>750000</v>
      </c>
      <c r="I579" s="10">
        <v>1.5496189298827201</v>
      </c>
    </row>
    <row r="580" spans="2:9" x14ac:dyDescent="0.25">
      <c r="B580" t="s">
        <v>1245</v>
      </c>
      <c r="C580" s="9" t="s">
        <v>1246</v>
      </c>
      <c r="D580" s="9" t="s">
        <v>20</v>
      </c>
      <c r="E580" s="9" t="s">
        <v>10</v>
      </c>
      <c r="F580" t="s">
        <v>1668</v>
      </c>
      <c r="G580">
        <v>33</v>
      </c>
      <c r="H580" s="11">
        <v>750000</v>
      </c>
      <c r="I580" s="10">
        <v>1.54821593074125</v>
      </c>
    </row>
    <row r="581" spans="2:9" x14ac:dyDescent="0.25">
      <c r="B581" t="s">
        <v>1205</v>
      </c>
      <c r="C581" s="9" t="s">
        <v>1206</v>
      </c>
      <c r="D581" s="9" t="s">
        <v>117</v>
      </c>
      <c r="E581" s="9" t="s">
        <v>84</v>
      </c>
      <c r="F581" t="s">
        <v>1668</v>
      </c>
      <c r="G581">
        <v>32</v>
      </c>
      <c r="H581" s="11">
        <v>750000</v>
      </c>
      <c r="I581" s="10">
        <v>1.5297410286770301</v>
      </c>
    </row>
    <row r="582" spans="2:9" x14ac:dyDescent="0.25">
      <c r="B582" t="s">
        <v>1159</v>
      </c>
      <c r="C582" s="9" t="s">
        <v>1160</v>
      </c>
      <c r="D582" s="9" t="s">
        <v>13</v>
      </c>
      <c r="E582" s="9" t="s">
        <v>84</v>
      </c>
      <c r="F582" t="s">
        <v>1668</v>
      </c>
      <c r="G582">
        <v>28</v>
      </c>
      <c r="H582" s="11">
        <v>750000</v>
      </c>
      <c r="I582" s="10">
        <v>1.5233232201746101</v>
      </c>
    </row>
    <row r="583" spans="2:9" x14ac:dyDescent="0.25">
      <c r="B583" t="s">
        <v>1324</v>
      </c>
      <c r="C583" s="9" t="s">
        <v>1325</v>
      </c>
      <c r="D583" s="9" t="s">
        <v>117</v>
      </c>
      <c r="E583" s="9" t="s">
        <v>84</v>
      </c>
      <c r="F583" t="s">
        <v>1668</v>
      </c>
      <c r="G583">
        <v>32</v>
      </c>
      <c r="H583" s="11">
        <v>750000</v>
      </c>
      <c r="I583" s="10">
        <v>1.51092603665685</v>
      </c>
    </row>
    <row r="584" spans="2:9" x14ac:dyDescent="0.25">
      <c r="B584" t="s">
        <v>1550</v>
      </c>
      <c r="C584" s="9" t="s">
        <v>1617</v>
      </c>
      <c r="D584" s="9" t="s">
        <v>20</v>
      </c>
      <c r="E584" s="9" t="s">
        <v>43</v>
      </c>
      <c r="F584" t="s">
        <v>1668</v>
      </c>
      <c r="G584">
        <v>25</v>
      </c>
      <c r="H584" s="11">
        <v>815000</v>
      </c>
      <c r="I584" s="10">
        <v>1.50890977214524</v>
      </c>
    </row>
    <row r="585" spans="2:9" x14ac:dyDescent="0.25">
      <c r="B585" t="s">
        <v>1071</v>
      </c>
      <c r="C585" s="9" t="s">
        <v>1072</v>
      </c>
      <c r="D585" s="9" t="s">
        <v>16</v>
      </c>
      <c r="E585" s="9" t="s">
        <v>21</v>
      </c>
      <c r="F585" t="s">
        <v>1668</v>
      </c>
      <c r="G585">
        <v>29</v>
      </c>
      <c r="H585" s="11">
        <v>750000</v>
      </c>
      <c r="I585" s="10">
        <v>1.49662542168576</v>
      </c>
    </row>
    <row r="586" spans="2:9" x14ac:dyDescent="0.25">
      <c r="B586" t="s">
        <v>1251</v>
      </c>
      <c r="C586" s="9" t="s">
        <v>1252</v>
      </c>
      <c r="D586" s="9" t="s">
        <v>13</v>
      </c>
      <c r="E586" s="9" t="s">
        <v>132</v>
      </c>
      <c r="F586" t="s">
        <v>1668</v>
      </c>
      <c r="G586">
        <v>29</v>
      </c>
      <c r="H586" s="11">
        <v>1321000</v>
      </c>
      <c r="I586" s="10">
        <v>1.4943841119185599</v>
      </c>
    </row>
    <row r="587" spans="2:9" x14ac:dyDescent="0.25">
      <c r="B587" t="s">
        <v>1161</v>
      </c>
      <c r="C587" s="9" t="s">
        <v>1162</v>
      </c>
      <c r="D587" s="9" t="s">
        <v>114</v>
      </c>
      <c r="E587" s="9" t="s">
        <v>37</v>
      </c>
      <c r="F587" t="s">
        <v>1668</v>
      </c>
      <c r="G587">
        <v>28</v>
      </c>
      <c r="H587" s="11">
        <v>750000</v>
      </c>
      <c r="I587" s="10">
        <v>1.4864221735269201</v>
      </c>
    </row>
    <row r="588" spans="2:9" x14ac:dyDescent="0.25">
      <c r="B588" t="s">
        <v>1165</v>
      </c>
      <c r="C588" s="9" t="s">
        <v>1166</v>
      </c>
      <c r="D588" s="9" t="s">
        <v>46</v>
      </c>
      <c r="E588" s="9" t="s">
        <v>84</v>
      </c>
      <c r="F588" t="s">
        <v>1668</v>
      </c>
      <c r="G588">
        <v>23</v>
      </c>
      <c r="H588" s="11">
        <v>750000</v>
      </c>
      <c r="I588" s="10">
        <v>1.48591247070365</v>
      </c>
    </row>
    <row r="589" spans="2:9" x14ac:dyDescent="0.25">
      <c r="B589" t="s">
        <v>1211</v>
      </c>
      <c r="C589" s="9" t="s">
        <v>1212</v>
      </c>
      <c r="D589" s="9" t="s">
        <v>81</v>
      </c>
      <c r="E589" s="9" t="s">
        <v>21</v>
      </c>
      <c r="F589" t="s">
        <v>1668</v>
      </c>
      <c r="G589">
        <v>25</v>
      </c>
      <c r="H589" s="11">
        <v>750000</v>
      </c>
      <c r="I589" s="10">
        <v>1.4764819162764899</v>
      </c>
    </row>
    <row r="590" spans="2:9" x14ac:dyDescent="0.25">
      <c r="B590" t="s">
        <v>1101</v>
      </c>
      <c r="C590" s="9" t="s">
        <v>1102</v>
      </c>
      <c r="D590" s="9" t="s">
        <v>13</v>
      </c>
      <c r="E590" s="9" t="s">
        <v>30</v>
      </c>
      <c r="F590" t="s">
        <v>1668</v>
      </c>
      <c r="G590">
        <v>32</v>
      </c>
      <c r="H590" s="11">
        <v>750000</v>
      </c>
      <c r="I590" s="10">
        <v>1.47349136162418</v>
      </c>
    </row>
    <row r="591" spans="2:9" x14ac:dyDescent="0.25">
      <c r="B591" t="s">
        <v>1555</v>
      </c>
      <c r="C591" s="9" t="s">
        <v>1622</v>
      </c>
      <c r="D591" s="9" t="s">
        <v>242</v>
      </c>
      <c r="E591" s="9" t="s">
        <v>132</v>
      </c>
      <c r="F591" t="s">
        <v>1668</v>
      </c>
      <c r="G591">
        <v>23</v>
      </c>
      <c r="H591" s="11">
        <v>750000</v>
      </c>
      <c r="I591" s="10">
        <v>1.4687227466008399</v>
      </c>
    </row>
    <row r="592" spans="2:9" x14ac:dyDescent="0.25">
      <c r="B592" t="s">
        <v>1069</v>
      </c>
      <c r="C592" s="9" t="s">
        <v>1070</v>
      </c>
      <c r="D592" s="9" t="s">
        <v>9</v>
      </c>
      <c r="E592" s="9" t="s">
        <v>21</v>
      </c>
      <c r="F592" t="s">
        <v>1668</v>
      </c>
      <c r="G592">
        <v>28</v>
      </c>
      <c r="H592" s="11">
        <v>750000</v>
      </c>
      <c r="I592" s="10">
        <v>1.4581463549966101</v>
      </c>
    </row>
    <row r="593" spans="2:9" x14ac:dyDescent="0.25">
      <c r="B593" t="s">
        <v>1221</v>
      </c>
      <c r="C593" s="9" t="s">
        <v>1222</v>
      </c>
      <c r="D593" s="9" t="s">
        <v>128</v>
      </c>
      <c r="E593" s="9" t="s">
        <v>21</v>
      </c>
      <c r="F593" t="s">
        <v>1668</v>
      </c>
      <c r="G593">
        <v>28</v>
      </c>
      <c r="H593" s="11">
        <v>750000</v>
      </c>
      <c r="I593" s="10">
        <v>1.44916366929424</v>
      </c>
    </row>
    <row r="594" spans="2:9" x14ac:dyDescent="0.25">
      <c r="B594" t="s">
        <v>1571</v>
      </c>
      <c r="C594" s="9" t="s">
        <v>1640</v>
      </c>
      <c r="D594" s="9" t="s">
        <v>9</v>
      </c>
      <c r="E594" s="9" t="s">
        <v>21</v>
      </c>
      <c r="F594" t="s">
        <v>1668</v>
      </c>
      <c r="G594">
        <v>23</v>
      </c>
      <c r="H594" s="11">
        <v>750000</v>
      </c>
      <c r="I594" s="10">
        <v>1.4435943229617301</v>
      </c>
    </row>
    <row r="595" spans="2:9" x14ac:dyDescent="0.25">
      <c r="B595" t="s">
        <v>1237</v>
      </c>
      <c r="C595" s="9" t="s">
        <v>1238</v>
      </c>
      <c r="D595" s="9" t="s">
        <v>81</v>
      </c>
      <c r="E595" s="9" t="s">
        <v>21</v>
      </c>
      <c r="F595" t="s">
        <v>1668</v>
      </c>
      <c r="G595">
        <v>29</v>
      </c>
      <c r="H595" s="11">
        <v>750000</v>
      </c>
      <c r="I595" s="10">
        <v>1.43489460411434</v>
      </c>
    </row>
    <row r="596" spans="2:9" x14ac:dyDescent="0.25">
      <c r="B596" t="s">
        <v>1558</v>
      </c>
      <c r="C596" s="9" t="s">
        <v>1625</v>
      </c>
      <c r="D596" s="9" t="s">
        <v>46</v>
      </c>
      <c r="E596" s="9" t="s">
        <v>10</v>
      </c>
      <c r="F596" t="s">
        <v>1668</v>
      </c>
      <c r="G596">
        <v>25</v>
      </c>
      <c r="H596" s="11">
        <v>750000</v>
      </c>
      <c r="I596" s="10">
        <v>1.41815260838782</v>
      </c>
    </row>
    <row r="597" spans="2:9" x14ac:dyDescent="0.25">
      <c r="B597" t="s">
        <v>1310</v>
      </c>
      <c r="C597" s="9" t="s">
        <v>1311</v>
      </c>
      <c r="D597" s="9" t="s">
        <v>87</v>
      </c>
      <c r="E597" s="9" t="s">
        <v>21</v>
      </c>
      <c r="F597" t="s">
        <v>1668</v>
      </c>
      <c r="G597">
        <v>36</v>
      </c>
      <c r="H597" s="11">
        <v>1117000</v>
      </c>
      <c r="I597" s="10">
        <v>1.41763814807743</v>
      </c>
    </row>
    <row r="598" spans="2:9" x14ac:dyDescent="0.25">
      <c r="B598" t="s">
        <v>1541</v>
      </c>
      <c r="C598" s="9" t="s">
        <v>1608</v>
      </c>
      <c r="D598" s="9" t="s">
        <v>46</v>
      </c>
      <c r="E598" s="9" t="s">
        <v>17</v>
      </c>
      <c r="F598" t="s">
        <v>1668</v>
      </c>
      <c r="G598">
        <v>27</v>
      </c>
      <c r="H598" s="11">
        <v>1258000</v>
      </c>
      <c r="I598" s="10">
        <v>1.41529928842919</v>
      </c>
    </row>
    <row r="599" spans="2:9" x14ac:dyDescent="0.25">
      <c r="B599" t="s">
        <v>1564</v>
      </c>
      <c r="C599" s="9" t="s">
        <v>1632</v>
      </c>
      <c r="D599" s="9" t="s">
        <v>46</v>
      </c>
      <c r="E599" s="9" t="s">
        <v>21</v>
      </c>
      <c r="F599" t="s">
        <v>1668</v>
      </c>
      <c r="G599">
        <v>27</v>
      </c>
      <c r="H599" s="11">
        <v>750000</v>
      </c>
      <c r="I599" s="10">
        <v>1.41349201908302</v>
      </c>
    </row>
    <row r="600" spans="2:9" x14ac:dyDescent="0.25">
      <c r="B600" t="s">
        <v>1187</v>
      </c>
      <c r="C600" s="9" t="s">
        <v>1188</v>
      </c>
      <c r="D600" s="9" t="s">
        <v>87</v>
      </c>
      <c r="E600" s="9" t="s">
        <v>17</v>
      </c>
      <c r="F600" t="s">
        <v>1668</v>
      </c>
      <c r="G600">
        <v>33</v>
      </c>
      <c r="H600" s="11">
        <v>750000</v>
      </c>
      <c r="I600" s="10">
        <v>1.4108643112683401</v>
      </c>
    </row>
    <row r="601" spans="2:9" x14ac:dyDescent="0.25">
      <c r="B601" t="s">
        <v>1197</v>
      </c>
      <c r="C601" s="9" t="s">
        <v>1198</v>
      </c>
      <c r="D601" s="9" t="s">
        <v>72</v>
      </c>
      <c r="E601" s="9" t="s">
        <v>21</v>
      </c>
      <c r="F601" t="s">
        <v>1668</v>
      </c>
      <c r="G601">
        <v>27</v>
      </c>
      <c r="H601" s="11">
        <v>750000</v>
      </c>
      <c r="I601" s="10">
        <v>1.4028708035005899</v>
      </c>
    </row>
    <row r="602" spans="2:9" x14ac:dyDescent="0.25">
      <c r="B602" t="s">
        <v>1133</v>
      </c>
      <c r="C602" s="9" t="s">
        <v>1134</v>
      </c>
      <c r="D602" s="9" t="s">
        <v>72</v>
      </c>
      <c r="E602" s="9" t="s">
        <v>17</v>
      </c>
      <c r="F602" t="s">
        <v>1668</v>
      </c>
      <c r="G602">
        <v>25</v>
      </c>
      <c r="H602" s="11">
        <v>750000</v>
      </c>
      <c r="I602" s="10">
        <v>1.3970846940212001</v>
      </c>
    </row>
    <row r="603" spans="2:9" x14ac:dyDescent="0.25">
      <c r="B603" t="s">
        <v>1109</v>
      </c>
      <c r="C603" s="9" t="s">
        <v>1110</v>
      </c>
      <c r="D603" s="9" t="s">
        <v>128</v>
      </c>
      <c r="E603" s="9" t="s">
        <v>21</v>
      </c>
      <c r="F603" t="s">
        <v>1668</v>
      </c>
      <c r="G603">
        <v>38</v>
      </c>
      <c r="H603" s="11">
        <v>750000</v>
      </c>
      <c r="I603" s="10">
        <v>1.3796099451569701</v>
      </c>
    </row>
    <row r="604" spans="2:9" x14ac:dyDescent="0.25">
      <c r="B604" t="s">
        <v>1300</v>
      </c>
      <c r="C604" s="9" t="s">
        <v>1301</v>
      </c>
      <c r="D604" s="9" t="s">
        <v>242</v>
      </c>
      <c r="E604" s="9" t="s">
        <v>84</v>
      </c>
      <c r="F604" t="s">
        <v>1668</v>
      </c>
      <c r="G604">
        <v>26</v>
      </c>
      <c r="H604" s="11">
        <v>750000</v>
      </c>
      <c r="I604" s="10">
        <v>1.3775409542908299</v>
      </c>
    </row>
    <row r="605" spans="2:9" x14ac:dyDescent="0.25">
      <c r="B605" t="s">
        <v>1344</v>
      </c>
      <c r="C605" s="9" t="s">
        <v>1345</v>
      </c>
      <c r="D605" s="9" t="s">
        <v>13</v>
      </c>
      <c r="E605" s="9" t="s">
        <v>30</v>
      </c>
      <c r="F605" t="s">
        <v>1668</v>
      </c>
      <c r="G605">
        <v>27</v>
      </c>
      <c r="H605" s="11">
        <v>750000</v>
      </c>
      <c r="I605" s="10">
        <v>1.3490135595163799</v>
      </c>
    </row>
    <row r="606" spans="2:9" x14ac:dyDescent="0.25">
      <c r="B606" t="s">
        <v>1306</v>
      </c>
      <c r="C606" s="9" t="s">
        <v>1307</v>
      </c>
      <c r="D606" s="9" t="s">
        <v>78</v>
      </c>
      <c r="E606" s="9" t="s">
        <v>84</v>
      </c>
      <c r="F606" t="s">
        <v>1668</v>
      </c>
      <c r="G606">
        <v>28</v>
      </c>
      <c r="H606" s="11">
        <v>750000</v>
      </c>
      <c r="I606" s="10">
        <v>1.34519279276084</v>
      </c>
    </row>
    <row r="607" spans="2:9" x14ac:dyDescent="0.25">
      <c r="B607" t="s">
        <v>1081</v>
      </c>
      <c r="C607" s="9" t="s">
        <v>1082</v>
      </c>
      <c r="D607" s="9" t="s">
        <v>96</v>
      </c>
      <c r="E607" s="9" t="s">
        <v>17</v>
      </c>
      <c r="F607" t="s">
        <v>1668</v>
      </c>
      <c r="G607">
        <v>29</v>
      </c>
      <c r="H607" s="11">
        <v>750000</v>
      </c>
      <c r="I607" s="10">
        <v>1.3418998668577899</v>
      </c>
    </row>
    <row r="608" spans="2:9" x14ac:dyDescent="0.25">
      <c r="B608" t="s">
        <v>1117</v>
      </c>
      <c r="C608" s="9" t="s">
        <v>1118</v>
      </c>
      <c r="D608" s="9" t="s">
        <v>128</v>
      </c>
      <c r="E608" s="9" t="s">
        <v>84</v>
      </c>
      <c r="F608" t="s">
        <v>1668</v>
      </c>
      <c r="G608">
        <v>38</v>
      </c>
      <c r="H608" s="11">
        <v>750000</v>
      </c>
      <c r="I608" s="10">
        <v>1.3375612350689901</v>
      </c>
    </row>
    <row r="609" spans="2:9" x14ac:dyDescent="0.25">
      <c r="B609" t="s">
        <v>1153</v>
      </c>
      <c r="C609" s="9" t="s">
        <v>1154</v>
      </c>
      <c r="D609" s="9" t="s">
        <v>131</v>
      </c>
      <c r="E609" s="9" t="s">
        <v>84</v>
      </c>
      <c r="F609" t="s">
        <v>1668</v>
      </c>
      <c r="G609">
        <v>33</v>
      </c>
      <c r="H609" s="11">
        <v>799000</v>
      </c>
      <c r="I609" s="10">
        <v>1.3363964768771599</v>
      </c>
    </row>
    <row r="610" spans="2:9" x14ac:dyDescent="0.25">
      <c r="B610" t="s">
        <v>1295</v>
      </c>
      <c r="C610" s="9" t="s">
        <v>1296</v>
      </c>
      <c r="D610" s="9" t="s">
        <v>75</v>
      </c>
      <c r="E610" s="9" t="s">
        <v>1297</v>
      </c>
      <c r="F610" t="s">
        <v>1668</v>
      </c>
      <c r="G610">
        <v>31</v>
      </c>
      <c r="H610" s="11">
        <v>750000</v>
      </c>
      <c r="I610" s="10">
        <v>1.3240165381678399</v>
      </c>
    </row>
    <row r="611" spans="2:9" x14ac:dyDescent="0.25">
      <c r="B611" t="s">
        <v>1233</v>
      </c>
      <c r="C611" s="9" t="s">
        <v>1234</v>
      </c>
      <c r="D611" s="9" t="s">
        <v>20</v>
      </c>
      <c r="E611" s="9" t="s">
        <v>17</v>
      </c>
      <c r="F611" t="s">
        <v>1668</v>
      </c>
      <c r="G611">
        <v>27</v>
      </c>
      <c r="H611" s="11">
        <v>750000</v>
      </c>
      <c r="I611" s="10">
        <v>1.32236096876436</v>
      </c>
    </row>
    <row r="612" spans="2:9" x14ac:dyDescent="0.25">
      <c r="B612" t="s">
        <v>1255</v>
      </c>
      <c r="C612" s="9" t="s">
        <v>1256</v>
      </c>
      <c r="D612" s="9" t="s">
        <v>46</v>
      </c>
      <c r="E612" s="9" t="s">
        <v>17</v>
      </c>
      <c r="F612" t="s">
        <v>1668</v>
      </c>
      <c r="G612">
        <v>26</v>
      </c>
      <c r="H612" s="11">
        <v>750000</v>
      </c>
      <c r="I612" s="10">
        <v>1.3124190331611401</v>
      </c>
    </row>
    <row r="613" spans="2:9" x14ac:dyDescent="0.25">
      <c r="B613" t="s">
        <v>1577</v>
      </c>
      <c r="C613" s="9" t="s">
        <v>1646</v>
      </c>
      <c r="D613" s="9" t="s">
        <v>150</v>
      </c>
      <c r="E613" s="9" t="s">
        <v>84</v>
      </c>
      <c r="F613" t="s">
        <v>1668</v>
      </c>
      <c r="G613">
        <v>25</v>
      </c>
      <c r="H613" s="11">
        <v>750000</v>
      </c>
      <c r="I613" s="10">
        <v>1.3051699577306199</v>
      </c>
    </row>
    <row r="614" spans="2:9" x14ac:dyDescent="0.25">
      <c r="B614" t="s">
        <v>1562</v>
      </c>
      <c r="C614" s="9" t="s">
        <v>1630</v>
      </c>
      <c r="D614" s="9" t="s">
        <v>239</v>
      </c>
      <c r="E614" s="9" t="s">
        <v>84</v>
      </c>
      <c r="F614" t="s">
        <v>1668</v>
      </c>
      <c r="G614">
        <v>30</v>
      </c>
      <c r="H614" s="11">
        <v>750000</v>
      </c>
      <c r="I614" s="10">
        <v>1.3030203122234401</v>
      </c>
    </row>
    <row r="615" spans="2:9" x14ac:dyDescent="0.25">
      <c r="B615" t="s">
        <v>1229</v>
      </c>
      <c r="C615" s="9" t="s">
        <v>1230</v>
      </c>
      <c r="D615" s="9" t="s">
        <v>78</v>
      </c>
      <c r="E615" s="9" t="s">
        <v>17</v>
      </c>
      <c r="F615" t="s">
        <v>1668</v>
      </c>
      <c r="G615">
        <v>32</v>
      </c>
      <c r="H615" s="11">
        <v>750000</v>
      </c>
      <c r="I615" s="10">
        <v>1.2776204845910799</v>
      </c>
    </row>
    <row r="616" spans="2:9" x14ac:dyDescent="0.25">
      <c r="B616" t="s">
        <v>1123</v>
      </c>
      <c r="C616" s="9" t="s">
        <v>1124</v>
      </c>
      <c r="D616" s="9" t="s">
        <v>170</v>
      </c>
      <c r="E616" s="9" t="s">
        <v>43</v>
      </c>
      <c r="F616" t="s">
        <v>1668</v>
      </c>
      <c r="G616">
        <v>27</v>
      </c>
      <c r="H616" s="11">
        <v>750000</v>
      </c>
      <c r="I616" s="10">
        <v>1.27004868050884</v>
      </c>
    </row>
    <row r="617" spans="2:9" x14ac:dyDescent="0.25">
      <c r="B617" t="s">
        <v>1572</v>
      </c>
      <c r="C617" s="9" t="s">
        <v>1641</v>
      </c>
      <c r="D617" s="9" t="s">
        <v>117</v>
      </c>
      <c r="E617" s="9" t="s">
        <v>21</v>
      </c>
      <c r="F617" t="s">
        <v>1668</v>
      </c>
      <c r="G617">
        <v>28</v>
      </c>
      <c r="H617" s="11">
        <v>750000</v>
      </c>
      <c r="I617" s="10">
        <v>1.2687005693175299</v>
      </c>
    </row>
    <row r="618" spans="2:9" x14ac:dyDescent="0.25">
      <c r="B618" t="s">
        <v>1293</v>
      </c>
      <c r="C618" s="9" t="s">
        <v>1294</v>
      </c>
      <c r="D618" s="9" t="s">
        <v>107</v>
      </c>
      <c r="E618" s="9" t="s">
        <v>84</v>
      </c>
      <c r="F618" t="s">
        <v>1668</v>
      </c>
      <c r="G618">
        <v>24</v>
      </c>
      <c r="H618" s="11">
        <v>750000</v>
      </c>
      <c r="I618" s="10">
        <v>1.2611755257027799</v>
      </c>
    </row>
    <row r="619" spans="2:9" x14ac:dyDescent="0.25">
      <c r="B619" t="s">
        <v>1576</v>
      </c>
      <c r="C619" s="9" t="s">
        <v>1645</v>
      </c>
      <c r="D619" s="9" t="s">
        <v>36</v>
      </c>
      <c r="E619" s="9" t="s">
        <v>17</v>
      </c>
      <c r="F619" t="s">
        <v>1668</v>
      </c>
      <c r="G619">
        <v>30</v>
      </c>
      <c r="H619" s="11">
        <v>750000</v>
      </c>
      <c r="I619" s="10">
        <v>1.2438886505018101</v>
      </c>
    </row>
    <row r="620" spans="2:9" x14ac:dyDescent="0.25">
      <c r="B620" t="s">
        <v>1285</v>
      </c>
      <c r="C620" s="9" t="s">
        <v>1286</v>
      </c>
      <c r="D620" s="9" t="s">
        <v>20</v>
      </c>
      <c r="E620" s="9" t="s">
        <v>17</v>
      </c>
      <c r="F620" t="s">
        <v>1668</v>
      </c>
      <c r="G620">
        <v>25</v>
      </c>
      <c r="H620" s="11">
        <v>750000</v>
      </c>
      <c r="I620" s="10">
        <v>1.2422494769872301</v>
      </c>
    </row>
    <row r="621" spans="2:9" x14ac:dyDescent="0.25">
      <c r="B621" t="s">
        <v>1326</v>
      </c>
      <c r="C621" s="9" t="s">
        <v>1327</v>
      </c>
      <c r="D621" s="9" t="s">
        <v>13</v>
      </c>
      <c r="E621" s="9" t="s">
        <v>84</v>
      </c>
      <c r="F621" t="s">
        <v>1668</v>
      </c>
      <c r="G621">
        <v>31</v>
      </c>
      <c r="H621" s="11">
        <v>750000</v>
      </c>
      <c r="I621" s="10">
        <v>1.23219232899428</v>
      </c>
    </row>
    <row r="622" spans="2:9" x14ac:dyDescent="0.25">
      <c r="B622" t="s">
        <v>1177</v>
      </c>
      <c r="C622" s="9" t="s">
        <v>1178</v>
      </c>
      <c r="D622" s="9" t="s">
        <v>117</v>
      </c>
      <c r="E622" s="9" t="s">
        <v>84</v>
      </c>
      <c r="F622" t="s">
        <v>1668</v>
      </c>
      <c r="G622">
        <v>27</v>
      </c>
      <c r="H622" s="11">
        <v>750000</v>
      </c>
      <c r="I622" s="10">
        <v>1.23052473632453</v>
      </c>
    </row>
    <row r="623" spans="2:9" x14ac:dyDescent="0.25">
      <c r="B623" t="s">
        <v>1559</v>
      </c>
      <c r="C623" s="9" t="s">
        <v>1627</v>
      </c>
      <c r="D623" s="9" t="s">
        <v>96</v>
      </c>
      <c r="E623" s="9" t="s">
        <v>30</v>
      </c>
      <c r="F623" t="s">
        <v>1668</v>
      </c>
      <c r="G623">
        <v>29</v>
      </c>
      <c r="H623" s="11">
        <v>750000</v>
      </c>
      <c r="I623" s="10">
        <v>1.20943738775999</v>
      </c>
    </row>
    <row r="624" spans="2:9" x14ac:dyDescent="0.25">
      <c r="B624" t="s">
        <v>1575</v>
      </c>
      <c r="C624" s="9" t="s">
        <v>1644</v>
      </c>
      <c r="D624" s="9" t="s">
        <v>128</v>
      </c>
      <c r="E624" s="9" t="s">
        <v>10</v>
      </c>
      <c r="F624" t="s">
        <v>1668</v>
      </c>
      <c r="G624">
        <v>26</v>
      </c>
      <c r="H624" s="11">
        <v>750000</v>
      </c>
      <c r="I624" s="10">
        <v>1.1807271372894601</v>
      </c>
    </row>
    <row r="625" spans="2:9" x14ac:dyDescent="0.25">
      <c r="B625" t="s">
        <v>1563</v>
      </c>
      <c r="C625" s="9" t="s">
        <v>1631</v>
      </c>
      <c r="D625" s="9" t="s">
        <v>150</v>
      </c>
      <c r="E625" s="9" t="s">
        <v>10</v>
      </c>
      <c r="F625" t="s">
        <v>1668</v>
      </c>
      <c r="G625">
        <v>28</v>
      </c>
      <c r="H625" s="11">
        <v>750000</v>
      </c>
      <c r="I625" s="10">
        <v>1.17049302325517</v>
      </c>
    </row>
    <row r="626" spans="2:9" x14ac:dyDescent="0.25">
      <c r="B626" t="s">
        <v>989</v>
      </c>
      <c r="C626" s="9" t="s">
        <v>990</v>
      </c>
      <c r="D626" s="9" t="s">
        <v>16</v>
      </c>
      <c r="E626" s="9" t="s">
        <v>84</v>
      </c>
      <c r="F626" t="s">
        <v>1668</v>
      </c>
      <c r="G626">
        <v>38</v>
      </c>
      <c r="H626" s="11">
        <v>750000</v>
      </c>
      <c r="I626" s="10">
        <v>1.1599023513245099</v>
      </c>
    </row>
    <row r="627" spans="2:9" x14ac:dyDescent="0.25">
      <c r="B627" t="s">
        <v>1566</v>
      </c>
      <c r="C627" s="9" t="s">
        <v>1634</v>
      </c>
      <c r="D627" s="9" t="s">
        <v>131</v>
      </c>
      <c r="E627" s="9" t="s">
        <v>10</v>
      </c>
      <c r="F627" t="s">
        <v>1668</v>
      </c>
      <c r="G627">
        <v>25</v>
      </c>
      <c r="H627" s="11">
        <v>750000</v>
      </c>
      <c r="I627" s="10">
        <v>1.15326072353121</v>
      </c>
    </row>
    <row r="628" spans="2:9" x14ac:dyDescent="0.25">
      <c r="B628" t="s">
        <v>1243</v>
      </c>
      <c r="C628" s="9" t="s">
        <v>1244</v>
      </c>
      <c r="D628" s="9" t="s">
        <v>72</v>
      </c>
      <c r="E628" s="9" t="s">
        <v>17</v>
      </c>
      <c r="F628" t="s">
        <v>1668</v>
      </c>
      <c r="G628">
        <v>29</v>
      </c>
      <c r="H628" s="11">
        <v>750000</v>
      </c>
      <c r="I628" s="10">
        <v>1.1384648898251799</v>
      </c>
    </row>
    <row r="629" spans="2:9" x14ac:dyDescent="0.25">
      <c r="B629" t="s">
        <v>985</v>
      </c>
      <c r="C629" s="9" t="s">
        <v>986</v>
      </c>
      <c r="D629" s="9" t="s">
        <v>9</v>
      </c>
      <c r="E629" s="9" t="s">
        <v>84</v>
      </c>
      <c r="F629" t="s">
        <v>1668</v>
      </c>
      <c r="G629">
        <v>37</v>
      </c>
      <c r="H629" s="11">
        <v>750000</v>
      </c>
      <c r="I629" s="10">
        <v>1.1363935910805301</v>
      </c>
    </row>
    <row r="630" spans="2:9" x14ac:dyDescent="0.25">
      <c r="B630" t="s">
        <v>1141</v>
      </c>
      <c r="C630" s="9" t="s">
        <v>1142</v>
      </c>
      <c r="D630" s="9" t="s">
        <v>36</v>
      </c>
      <c r="E630" s="9" t="s">
        <v>84</v>
      </c>
      <c r="F630" t="s">
        <v>1668</v>
      </c>
      <c r="G630">
        <v>29</v>
      </c>
      <c r="H630" s="11">
        <v>750000</v>
      </c>
      <c r="I630" s="10">
        <v>1.0914939468296001</v>
      </c>
    </row>
    <row r="631" spans="2:9" x14ac:dyDescent="0.25">
      <c r="B631" t="s">
        <v>1561</v>
      </c>
      <c r="C631" s="9" t="s">
        <v>1629</v>
      </c>
      <c r="D631" s="9" t="s">
        <v>46</v>
      </c>
      <c r="E631" s="9" t="s">
        <v>17</v>
      </c>
      <c r="F631" t="s">
        <v>1668</v>
      </c>
      <c r="G631">
        <v>31</v>
      </c>
      <c r="H631" s="11">
        <v>750000</v>
      </c>
      <c r="I631" s="10">
        <v>1.07562052851778</v>
      </c>
    </row>
    <row r="632" spans="2:9" x14ac:dyDescent="0.25">
      <c r="B632" t="s">
        <v>1273</v>
      </c>
      <c r="C632" s="9" t="s">
        <v>1274</v>
      </c>
      <c r="D632" s="9" t="s">
        <v>104</v>
      </c>
      <c r="E632" s="9" t="s">
        <v>17</v>
      </c>
      <c r="F632" t="s">
        <v>1668</v>
      </c>
      <c r="G632">
        <v>26</v>
      </c>
      <c r="H632" s="11">
        <v>750000</v>
      </c>
      <c r="I632" s="10">
        <v>1.05880823444334</v>
      </c>
    </row>
    <row r="633" spans="2:9" x14ac:dyDescent="0.25">
      <c r="B633" t="s">
        <v>1560</v>
      </c>
      <c r="C633" s="9" t="s">
        <v>1628</v>
      </c>
      <c r="D633" s="9" t="s">
        <v>114</v>
      </c>
      <c r="E633" s="9" t="s">
        <v>37</v>
      </c>
      <c r="F633" t="s">
        <v>1668</v>
      </c>
      <c r="G633">
        <v>24</v>
      </c>
      <c r="H633" s="11">
        <v>750000</v>
      </c>
      <c r="I633" s="10">
        <v>1.0444321976684701</v>
      </c>
    </row>
    <row r="634" spans="2:9" x14ac:dyDescent="0.25">
      <c r="B634" t="s">
        <v>1569</v>
      </c>
      <c r="C634" s="9" t="s">
        <v>1637</v>
      </c>
      <c r="D634" s="9" t="s">
        <v>40</v>
      </c>
      <c r="E634" s="9" t="s">
        <v>84</v>
      </c>
      <c r="F634" t="s">
        <v>1668</v>
      </c>
      <c r="G634">
        <v>33</v>
      </c>
      <c r="H634" s="11">
        <v>750000</v>
      </c>
      <c r="I634" s="10">
        <v>1.04334896355104</v>
      </c>
    </row>
    <row r="635" spans="2:9" x14ac:dyDescent="0.25">
      <c r="B635" t="s">
        <v>1091</v>
      </c>
      <c r="C635" s="9" t="s">
        <v>1092</v>
      </c>
      <c r="D635" s="9" t="s">
        <v>242</v>
      </c>
      <c r="E635" s="9" t="s">
        <v>84</v>
      </c>
      <c r="F635" t="s">
        <v>1668</v>
      </c>
      <c r="G635">
        <v>36</v>
      </c>
      <c r="H635" s="11">
        <v>750000</v>
      </c>
      <c r="I635" s="10">
        <v>1.0269212796354601</v>
      </c>
    </row>
    <row r="636" spans="2:9" x14ac:dyDescent="0.25">
      <c r="B636" t="s">
        <v>1283</v>
      </c>
      <c r="C636" s="9" t="s">
        <v>1284</v>
      </c>
      <c r="D636" s="9" t="s">
        <v>75</v>
      </c>
      <c r="E636" s="9" t="s">
        <v>10</v>
      </c>
      <c r="F636" t="s">
        <v>1668</v>
      </c>
      <c r="G636">
        <v>26</v>
      </c>
      <c r="H636" s="11">
        <v>750000</v>
      </c>
      <c r="I636" s="10">
        <v>1.0187789819765101</v>
      </c>
    </row>
    <row r="637" spans="2:9" x14ac:dyDescent="0.25">
      <c r="B637" t="s">
        <v>1113</v>
      </c>
      <c r="C637" s="9" t="s">
        <v>1114</v>
      </c>
      <c r="D637" s="9" t="s">
        <v>33</v>
      </c>
      <c r="E637" s="9" t="s">
        <v>84</v>
      </c>
      <c r="F637" t="s">
        <v>1668</v>
      </c>
      <c r="G637">
        <v>29</v>
      </c>
      <c r="H637" s="11">
        <v>750000</v>
      </c>
      <c r="I637" s="10">
        <v>0.95533634747541996</v>
      </c>
    </row>
    <row r="638" spans="2:9" x14ac:dyDescent="0.25">
      <c r="B638" t="s">
        <v>1279</v>
      </c>
      <c r="C638" s="9" t="s">
        <v>1280</v>
      </c>
      <c r="D638" s="9" t="s">
        <v>181</v>
      </c>
      <c r="E638" s="9" t="s">
        <v>10</v>
      </c>
      <c r="F638" t="s">
        <v>1668</v>
      </c>
      <c r="G638">
        <v>31</v>
      </c>
      <c r="H638" s="11">
        <v>750000</v>
      </c>
      <c r="I638" s="10">
        <v>0.94601541740131001</v>
      </c>
    </row>
    <row r="639" spans="2:9" x14ac:dyDescent="0.25">
      <c r="B639" t="s">
        <v>1157</v>
      </c>
      <c r="C639" s="9" t="s">
        <v>1158</v>
      </c>
      <c r="D639" s="9" t="s">
        <v>104</v>
      </c>
      <c r="E639" s="9" t="s">
        <v>10</v>
      </c>
      <c r="F639" t="s">
        <v>1668</v>
      </c>
      <c r="G639">
        <v>30</v>
      </c>
      <c r="H639" s="11">
        <v>750000</v>
      </c>
      <c r="I639" s="10">
        <v>0.91059893916734902</v>
      </c>
    </row>
    <row r="640" spans="2:9" x14ac:dyDescent="0.25">
      <c r="B640" t="s">
        <v>1235</v>
      </c>
      <c r="C640" s="9" t="s">
        <v>1236</v>
      </c>
      <c r="D640" s="9" t="s">
        <v>242</v>
      </c>
      <c r="E640" s="9" t="s">
        <v>10</v>
      </c>
      <c r="F640" t="s">
        <v>1668</v>
      </c>
      <c r="G640">
        <v>31</v>
      </c>
      <c r="H640" s="11">
        <v>750000</v>
      </c>
      <c r="I640" s="10">
        <v>0.87499451712442999</v>
      </c>
    </row>
    <row r="641" spans="2:9" x14ac:dyDescent="0.25">
      <c r="B641" t="s">
        <v>1332</v>
      </c>
      <c r="C641" s="9" t="s">
        <v>1333</v>
      </c>
      <c r="D641" s="9" t="s">
        <v>24</v>
      </c>
      <c r="E641" s="9" t="s">
        <v>84</v>
      </c>
      <c r="F641" t="s">
        <v>1668</v>
      </c>
      <c r="G641">
        <v>28</v>
      </c>
      <c r="H641" s="11">
        <v>750000</v>
      </c>
      <c r="I641" s="10">
        <v>0.87435910407130601</v>
      </c>
    </row>
    <row r="642" spans="2:9" x14ac:dyDescent="0.25">
      <c r="B642" t="s">
        <v>1277</v>
      </c>
      <c r="C642" s="9" t="s">
        <v>1278</v>
      </c>
      <c r="D642" s="9" t="s">
        <v>9</v>
      </c>
      <c r="E642" s="9" t="s">
        <v>21</v>
      </c>
      <c r="F642" t="s">
        <v>1668</v>
      </c>
      <c r="G642">
        <v>34</v>
      </c>
      <c r="H642" s="11">
        <v>750000</v>
      </c>
      <c r="I642" s="10">
        <v>0.87044806248472395</v>
      </c>
    </row>
    <row r="643" spans="2:9" x14ac:dyDescent="0.25">
      <c r="B643" t="s">
        <v>1302</v>
      </c>
      <c r="C643" s="9" t="s">
        <v>1303</v>
      </c>
      <c r="D643" s="9" t="s">
        <v>239</v>
      </c>
      <c r="E643" s="9" t="s">
        <v>84</v>
      </c>
      <c r="F643" t="s">
        <v>1668</v>
      </c>
      <c r="G643">
        <v>36</v>
      </c>
      <c r="H643" s="11">
        <v>750000</v>
      </c>
      <c r="I643" s="10">
        <v>0.86561645534939002</v>
      </c>
    </row>
    <row r="644" spans="2:9" x14ac:dyDescent="0.25">
      <c r="B644" t="s">
        <v>1261</v>
      </c>
      <c r="C644" s="9" t="s">
        <v>1262</v>
      </c>
      <c r="D644" s="9" t="s">
        <v>16</v>
      </c>
      <c r="E644" s="9" t="s">
        <v>37</v>
      </c>
      <c r="F644" t="s">
        <v>1668</v>
      </c>
      <c r="G644">
        <v>31</v>
      </c>
      <c r="H644" s="11">
        <v>750000</v>
      </c>
      <c r="I644" s="10">
        <v>0.86393912978727605</v>
      </c>
    </row>
    <row r="645" spans="2:9" x14ac:dyDescent="0.25">
      <c r="B645" t="s">
        <v>1573</v>
      </c>
      <c r="C645" s="9" t="s">
        <v>1642</v>
      </c>
      <c r="D645" s="9" t="s">
        <v>236</v>
      </c>
      <c r="E645" s="9" t="s">
        <v>37</v>
      </c>
      <c r="F645" t="s">
        <v>1668</v>
      </c>
      <c r="G645">
        <v>27</v>
      </c>
      <c r="H645" s="11">
        <v>750000</v>
      </c>
      <c r="I645" s="10">
        <v>0.86044070770108105</v>
      </c>
    </row>
    <row r="646" spans="2:9" x14ac:dyDescent="0.25">
      <c r="B646" t="s">
        <v>1570</v>
      </c>
      <c r="C646" s="9" t="s">
        <v>1639</v>
      </c>
      <c r="D646" s="9" t="s">
        <v>78</v>
      </c>
      <c r="E646" s="9" t="s">
        <v>37</v>
      </c>
      <c r="F646" t="s">
        <v>1668</v>
      </c>
      <c r="G646">
        <v>27</v>
      </c>
      <c r="H646" s="11">
        <v>750000</v>
      </c>
      <c r="I646" s="10">
        <v>0.82911252254547496</v>
      </c>
    </row>
    <row r="647" spans="2:9" x14ac:dyDescent="0.25">
      <c r="B647" t="s">
        <v>1217</v>
      </c>
      <c r="C647" s="9" t="s">
        <v>1218</v>
      </c>
      <c r="D647" s="9" t="s">
        <v>181</v>
      </c>
      <c r="E647" s="9" t="s">
        <v>21</v>
      </c>
      <c r="F647" t="s">
        <v>1668</v>
      </c>
      <c r="G647">
        <v>27</v>
      </c>
      <c r="H647" s="11">
        <v>750000</v>
      </c>
      <c r="I647" s="10">
        <v>0.69066875237922498</v>
      </c>
    </row>
    <row r="648" spans="2:9" x14ac:dyDescent="0.25">
      <c r="B648" t="s">
        <v>1338</v>
      </c>
      <c r="C648" s="9" t="s">
        <v>1339</v>
      </c>
      <c r="D648" s="9" t="s">
        <v>117</v>
      </c>
      <c r="E648" s="9" t="s">
        <v>21</v>
      </c>
      <c r="F648" t="s">
        <v>1668</v>
      </c>
      <c r="G648">
        <v>26</v>
      </c>
      <c r="H648" s="11">
        <v>750000</v>
      </c>
      <c r="I648" s="10">
        <v>0.65970864188232603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B1E0-2ECD-4AEB-B76E-1B46CBCBCFDB}">
  <dimension ref="B2:E187"/>
  <sheetViews>
    <sheetView topLeftCell="A144" workbookViewId="0">
      <selection activeCell="B187" sqref="B187"/>
    </sheetView>
  </sheetViews>
  <sheetFormatPr defaultRowHeight="15" x14ac:dyDescent="0.25"/>
  <cols>
    <col min="1" max="1" width="5.7109375" style="1" customWidth="1"/>
    <col min="2" max="2" width="21.5703125" style="1" bestFit="1" customWidth="1"/>
    <col min="3" max="16384" width="9.140625" style="1"/>
  </cols>
  <sheetData>
    <row r="2" spans="2:5" x14ac:dyDescent="0.25">
      <c r="B2" s="1" t="s">
        <v>1650</v>
      </c>
      <c r="C2" s="2">
        <f>14*4</f>
        <v>56</v>
      </c>
      <c r="D2" s="12"/>
    </row>
    <row r="3" spans="2:5" x14ac:dyDescent="0.25">
      <c r="B3" s="1" t="s">
        <v>1651</v>
      </c>
      <c r="C3" s="2" t="s">
        <v>376</v>
      </c>
      <c r="D3" s="12"/>
    </row>
    <row r="5" spans="2:5" x14ac:dyDescent="0.25">
      <c r="B5" s="1" t="s">
        <v>1647</v>
      </c>
      <c r="C5" s="12" t="s">
        <v>6</v>
      </c>
      <c r="D5" s="12" t="s">
        <v>1648</v>
      </c>
      <c r="E5" s="12" t="s">
        <v>1649</v>
      </c>
    </row>
    <row r="6" spans="2:5" x14ac:dyDescent="0.25">
      <c r="B6" s="1" t="str" cm="1">
        <f t="array" ref="B6:B187">_xlfn._xlws.FILTER(Table1[Player], ISNUMBER(SEARCH("C", Table1[Position])))</f>
        <v>Nathan MacKinnon</v>
      </c>
      <c r="C6" s="13">
        <f>VLOOKUP(B6,Table1[[Player]:[FP/G]],7,FALSE)</f>
        <v>8.3543042642627992</v>
      </c>
      <c r="D6" s="14">
        <f>COUNT($C$6:C6)</f>
        <v>1</v>
      </c>
      <c r="E6" s="13">
        <f>C6-VLOOKUP($C$3,$B$6:$D$187,2,FALSE)</f>
        <v>3.9371457596040988</v>
      </c>
    </row>
    <row r="7" spans="2:5" x14ac:dyDescent="0.25">
      <c r="B7" s="1" t="str">
        <v>Brayden Point</v>
      </c>
      <c r="C7" s="13">
        <f>VLOOKUP(B7,Table1[[Player]:[FP/G]],7,FALSE)</f>
        <v>7.9792497666834699</v>
      </c>
      <c r="D7" s="14">
        <f>COUNT($C$6:C7)</f>
        <v>2</v>
      </c>
      <c r="E7" s="13">
        <f t="shared" ref="E7:E70" si="0">C7-VLOOKUP($C$3,$B$6:$D$187,2,FALSE)</f>
        <v>3.5620912620247696</v>
      </c>
    </row>
    <row r="8" spans="2:5" x14ac:dyDescent="0.25">
      <c r="B8" s="1" t="str">
        <v>Jack Hughes</v>
      </c>
      <c r="C8" s="13">
        <f>VLOOKUP(B8,Table1[[Player]:[FP/G]],7,FALSE)</f>
        <v>7.9790868639825101</v>
      </c>
      <c r="D8" s="14">
        <f>COUNT($C$6:C8)</f>
        <v>3</v>
      </c>
      <c r="E8" s="13">
        <f t="shared" si="0"/>
        <v>3.5619283593238098</v>
      </c>
    </row>
    <row r="9" spans="2:5" x14ac:dyDescent="0.25">
      <c r="B9" s="1" t="str">
        <v>Connor McDavid</v>
      </c>
      <c r="C9" s="13">
        <f>VLOOKUP(B9,Table1[[Player]:[FP/G]],7,FALSE)</f>
        <v>7.8543636819626297</v>
      </c>
      <c r="D9" s="14">
        <f>COUNT($C$6:C9)</f>
        <v>4</v>
      </c>
      <c r="E9" s="13">
        <f t="shared" si="0"/>
        <v>3.4372051773039294</v>
      </c>
    </row>
    <row r="10" spans="2:5" x14ac:dyDescent="0.25">
      <c r="B10" s="1" t="str">
        <v>Auston Matthews</v>
      </c>
      <c r="C10" s="13">
        <f>VLOOKUP(B10,Table1[[Player]:[FP/G]],7,FALSE)</f>
        <v>7.7526758162387299</v>
      </c>
      <c r="D10" s="14">
        <f>COUNT($C$6:C10)</f>
        <v>5</v>
      </c>
      <c r="E10" s="13">
        <f t="shared" si="0"/>
        <v>3.3355173115800296</v>
      </c>
    </row>
    <row r="11" spans="2:5" x14ac:dyDescent="0.25">
      <c r="B11" s="1" t="str">
        <v>Leon Draisaitl</v>
      </c>
      <c r="C11" s="13">
        <f>VLOOKUP(B11,Table1[[Player]:[FP/G]],7,FALSE)</f>
        <v>7.6407302873729899</v>
      </c>
      <c r="D11" s="14">
        <f>COUNT($C$6:C11)</f>
        <v>6</v>
      </c>
      <c r="E11" s="13">
        <f t="shared" si="0"/>
        <v>3.2235717827142896</v>
      </c>
    </row>
    <row r="12" spans="2:5" x14ac:dyDescent="0.25">
      <c r="B12" s="1" t="str">
        <v>Jack Eichel</v>
      </c>
      <c r="C12" s="13">
        <f>VLOOKUP(B12,Table1[[Player]:[FP/G]],7,FALSE)</f>
        <v>7.1064373013504101</v>
      </c>
      <c r="D12" s="14">
        <f>COUNT($C$6:C12)</f>
        <v>7</v>
      </c>
      <c r="E12" s="13">
        <f t="shared" si="0"/>
        <v>2.6892787966917098</v>
      </c>
    </row>
    <row r="13" spans="2:5" x14ac:dyDescent="0.25">
      <c r="B13" s="1" t="str">
        <v>Nick Suzuki</v>
      </c>
      <c r="C13" s="13">
        <f>VLOOKUP(B13,Table1[[Player]:[FP/G]],7,FALSE)</f>
        <v>6.8616835185217999</v>
      </c>
      <c r="D13" s="14">
        <f>COUNT($C$6:C13)</f>
        <v>8</v>
      </c>
      <c r="E13" s="13">
        <f t="shared" si="0"/>
        <v>2.4445250138630996</v>
      </c>
    </row>
    <row r="14" spans="2:5" x14ac:dyDescent="0.25">
      <c r="B14" s="1" t="str">
        <v>Dylan Larkin</v>
      </c>
      <c r="C14" s="13">
        <f>VLOOKUP(B14,Table1[[Player]:[FP/G]],7,FALSE)</f>
        <v>6.8572889487896704</v>
      </c>
      <c r="D14" s="14">
        <f>COUNT($C$6:C14)</f>
        <v>9</v>
      </c>
      <c r="E14" s="13">
        <f t="shared" si="0"/>
        <v>2.4401304441309701</v>
      </c>
    </row>
    <row r="15" spans="2:5" x14ac:dyDescent="0.25">
      <c r="B15" s="1" t="str">
        <v>Mark Scheifele</v>
      </c>
      <c r="C15" s="13">
        <f>VLOOKUP(B15,Table1[[Player]:[FP/G]],7,FALSE)</f>
        <v>6.8328583122801803</v>
      </c>
      <c r="D15" s="14">
        <f>COUNT($C$6:C15)</f>
        <v>10</v>
      </c>
      <c r="E15" s="13">
        <f t="shared" si="0"/>
        <v>2.41569980762148</v>
      </c>
    </row>
    <row r="16" spans="2:5" x14ac:dyDescent="0.25">
      <c r="B16" s="1" t="str">
        <v>Nazem Kadri</v>
      </c>
      <c r="C16" s="13">
        <f>VLOOKUP(B16,Table1[[Player]:[FP/G]],7,FALSE)</f>
        <v>6.8201709082500503</v>
      </c>
      <c r="D16" s="14">
        <f>COUNT($C$6:C16)</f>
        <v>11</v>
      </c>
      <c r="E16" s="13">
        <f t="shared" si="0"/>
        <v>2.40301240359135</v>
      </c>
    </row>
    <row r="17" spans="2:5" x14ac:dyDescent="0.25">
      <c r="B17" s="1" t="str">
        <v>Aleksander Barkov</v>
      </c>
      <c r="C17" s="13">
        <f>VLOOKUP(B17,Table1[[Player]:[FP/G]],7,FALSE)</f>
        <v>6.7622525057454999</v>
      </c>
      <c r="D17" s="14">
        <f>COUNT($C$6:C17)</f>
        <v>12</v>
      </c>
      <c r="E17" s="13">
        <f t="shared" si="0"/>
        <v>2.3450940010867996</v>
      </c>
    </row>
    <row r="18" spans="2:5" x14ac:dyDescent="0.25">
      <c r="B18" s="1" t="str">
        <v>Tage Thompson</v>
      </c>
      <c r="C18" s="13">
        <f>VLOOKUP(B18,Table1[[Player]:[FP/G]],7,FALSE)</f>
        <v>6.7288560058686597</v>
      </c>
      <c r="D18" s="14">
        <f>COUNT($C$6:C18)</f>
        <v>13</v>
      </c>
      <c r="E18" s="13">
        <f t="shared" si="0"/>
        <v>2.3116975012099594</v>
      </c>
    </row>
    <row r="19" spans="2:5" x14ac:dyDescent="0.25">
      <c r="B19" s="1" t="str">
        <v>Sebastian Aho</v>
      </c>
      <c r="C19" s="13">
        <f>VLOOKUP(B19,Table1[[Player]:[FP/G]],7,FALSE)</f>
        <v>6.6995085007910102</v>
      </c>
      <c r="D19" s="14">
        <f>COUNT($C$6:C19)</f>
        <v>14</v>
      </c>
      <c r="E19" s="13">
        <f t="shared" si="0"/>
        <v>2.2823499961323099</v>
      </c>
    </row>
    <row r="20" spans="2:5" x14ac:dyDescent="0.25">
      <c r="B20" s="1" t="str">
        <v>Robert Thomas</v>
      </c>
      <c r="C20" s="13">
        <f>VLOOKUP(B20,Table1[[Player]:[FP/G]],7,FALSE)</f>
        <v>6.68976573889588</v>
      </c>
      <c r="D20" s="14">
        <f>COUNT($C$6:C20)</f>
        <v>15</v>
      </c>
      <c r="E20" s="13">
        <f t="shared" si="0"/>
        <v>2.2726072342371797</v>
      </c>
    </row>
    <row r="21" spans="2:5" x14ac:dyDescent="0.25">
      <c r="B21" s="1" t="str">
        <v>Dylan Strome</v>
      </c>
      <c r="C21" s="13">
        <f>VLOOKUP(B21,Table1[[Player]:[FP/G]],7,FALSE)</f>
        <v>6.6498851559957597</v>
      </c>
      <c r="D21" s="14">
        <f>COUNT($C$6:C21)</f>
        <v>16</v>
      </c>
      <c r="E21" s="13">
        <f t="shared" si="0"/>
        <v>2.2327266513370594</v>
      </c>
    </row>
    <row r="22" spans="2:5" x14ac:dyDescent="0.25">
      <c r="B22" s="1" t="str">
        <v>Jared McCann</v>
      </c>
      <c r="C22" s="13">
        <f>VLOOKUP(B22,Table1[[Player]:[FP/G]],7,FALSE)</f>
        <v>6.5715914296674098</v>
      </c>
      <c r="D22" s="14">
        <f>COUNT($C$6:C22)</f>
        <v>17</v>
      </c>
      <c r="E22" s="13">
        <f t="shared" si="0"/>
        <v>2.1544329250087095</v>
      </c>
    </row>
    <row r="23" spans="2:5" x14ac:dyDescent="0.25">
      <c r="B23" s="1" t="str">
        <v>Nico Hischier</v>
      </c>
      <c r="C23" s="13">
        <f>VLOOKUP(B23,Table1[[Player]:[FP/G]],7,FALSE)</f>
        <v>6.5533652369769699</v>
      </c>
      <c r="D23" s="14">
        <f>COUNT($C$6:C23)</f>
        <v>18</v>
      </c>
      <c r="E23" s="13">
        <f t="shared" si="0"/>
        <v>2.1362067323182696</v>
      </c>
    </row>
    <row r="24" spans="2:5" x14ac:dyDescent="0.25">
      <c r="B24" s="1" t="str">
        <v>John Tavares</v>
      </c>
      <c r="C24" s="13">
        <f>VLOOKUP(B24,Table1[[Player]:[FP/G]],7,FALSE)</f>
        <v>6.5496574318183303</v>
      </c>
      <c r="D24" s="14">
        <f>COUNT($C$6:C24)</f>
        <v>19</v>
      </c>
      <c r="E24" s="13">
        <f t="shared" si="0"/>
        <v>2.13249892715963</v>
      </c>
    </row>
    <row r="25" spans="2:5" x14ac:dyDescent="0.25">
      <c r="B25" s="1" t="str">
        <v>Roope Hintz</v>
      </c>
      <c r="C25" s="13">
        <f>VLOOKUP(B25,Table1[[Player]:[FP/G]],7,FALSE)</f>
        <v>6.4635035510788104</v>
      </c>
      <c r="D25" s="14">
        <f>COUNT($C$6:C25)</f>
        <v>20</v>
      </c>
      <c r="E25" s="13">
        <f t="shared" si="0"/>
        <v>2.0463450464201101</v>
      </c>
    </row>
    <row r="26" spans="2:5" x14ac:dyDescent="0.25">
      <c r="B26" s="1" t="str">
        <v>Tomas Hertl</v>
      </c>
      <c r="C26" s="13">
        <f>VLOOKUP(B26,Table1[[Player]:[FP/G]],7,FALSE)</f>
        <v>6.4058271699291396</v>
      </c>
      <c r="D26" s="14">
        <f>COUNT($C$6:C26)</f>
        <v>21</v>
      </c>
      <c r="E26" s="13">
        <f t="shared" si="0"/>
        <v>1.9886686652704393</v>
      </c>
    </row>
    <row r="27" spans="2:5" x14ac:dyDescent="0.25">
      <c r="B27" s="1" t="str">
        <v>Wyatt Johnston</v>
      </c>
      <c r="C27" s="13">
        <f>VLOOKUP(B27,Table1[[Player]:[FP/G]],7,FALSE)</f>
        <v>6.22675992566829</v>
      </c>
      <c r="D27" s="14">
        <f>COUNT($C$6:C27)</f>
        <v>22</v>
      </c>
      <c r="E27" s="13">
        <f t="shared" si="0"/>
        <v>1.8096014210095897</v>
      </c>
    </row>
    <row r="28" spans="2:5" x14ac:dyDescent="0.25">
      <c r="B28" s="1" t="str">
        <v>Sidney Crosby</v>
      </c>
      <c r="C28" s="13">
        <f>VLOOKUP(B28,Table1[[Player]:[FP/G]],7,FALSE)</f>
        <v>6.1896911756475896</v>
      </c>
      <c r="D28" s="14">
        <f>COUNT($C$6:C28)</f>
        <v>23</v>
      </c>
      <c r="E28" s="13">
        <f t="shared" si="0"/>
        <v>1.7725326709888893</v>
      </c>
    </row>
    <row r="29" spans="2:5" x14ac:dyDescent="0.25">
      <c r="B29" s="1" t="str">
        <v>Matt Duchene</v>
      </c>
      <c r="C29" s="13">
        <f>VLOOKUP(B29,Table1[[Player]:[FP/G]],7,FALSE)</f>
        <v>6.1833274144943404</v>
      </c>
      <c r="D29" s="14">
        <f>COUNT($C$6:C29)</f>
        <v>24</v>
      </c>
      <c r="E29" s="13">
        <f t="shared" si="0"/>
        <v>1.7661689098356401</v>
      </c>
    </row>
    <row r="30" spans="2:5" x14ac:dyDescent="0.25">
      <c r="B30" s="1" t="str">
        <v>Tim Stutzle</v>
      </c>
      <c r="C30" s="13">
        <f>VLOOKUP(B30,Table1[[Player]:[FP/G]],7,FALSE)</f>
        <v>6.13396870793866</v>
      </c>
      <c r="D30" s="14">
        <f>COUNT($C$6:C30)</f>
        <v>25</v>
      </c>
      <c r="E30" s="13">
        <f t="shared" si="0"/>
        <v>1.7168102032799597</v>
      </c>
    </row>
    <row r="31" spans="2:5" x14ac:dyDescent="0.25">
      <c r="B31" s="1" t="str">
        <v>J.T. Miller</v>
      </c>
      <c r="C31" s="13">
        <f>VLOOKUP(B31,Table1[[Player]:[FP/G]],7,FALSE)</f>
        <v>6.12106335625983</v>
      </c>
      <c r="D31" s="14">
        <f>COUNT($C$6:C31)</f>
        <v>26</v>
      </c>
      <c r="E31" s="13">
        <f t="shared" si="0"/>
        <v>1.7039048516011297</v>
      </c>
    </row>
    <row r="32" spans="2:5" x14ac:dyDescent="0.25">
      <c r="B32" s="1" t="str">
        <v>Pierre-Luc Dubois</v>
      </c>
      <c r="C32" s="13">
        <f>VLOOKUP(B32,Table1[[Player]:[FP/G]],7,FALSE)</f>
        <v>6.0090991385862704</v>
      </c>
      <c r="D32" s="14">
        <f>COUNT($C$6:C32)</f>
        <v>27</v>
      </c>
      <c r="E32" s="13">
        <f t="shared" si="0"/>
        <v>1.5919406339275701</v>
      </c>
    </row>
    <row r="33" spans="2:5" x14ac:dyDescent="0.25">
      <c r="B33" s="1" t="str">
        <v>Mika Zibanejad</v>
      </c>
      <c r="C33" s="13">
        <f>VLOOKUP(B33,Table1[[Player]:[FP/G]],7,FALSE)</f>
        <v>5.8589042582119299</v>
      </c>
      <c r="D33" s="14">
        <f>COUNT($C$6:C33)</f>
        <v>28</v>
      </c>
      <c r="E33" s="13">
        <f t="shared" si="0"/>
        <v>1.4417457535532296</v>
      </c>
    </row>
    <row r="34" spans="2:5" x14ac:dyDescent="0.25">
      <c r="B34" s="1" t="str">
        <v>Sean Monahan</v>
      </c>
      <c r="C34" s="13">
        <f>VLOOKUP(B34,Table1[[Player]:[FP/G]],7,FALSE)</f>
        <v>5.82344833679901</v>
      </c>
      <c r="D34" s="14">
        <f>COUNT($C$6:C34)</f>
        <v>29</v>
      </c>
      <c r="E34" s="13">
        <f t="shared" si="0"/>
        <v>1.4062898321403097</v>
      </c>
    </row>
    <row r="35" spans="2:5" x14ac:dyDescent="0.25">
      <c r="B35" s="1" t="str">
        <v>Vincent Trocheck</v>
      </c>
      <c r="C35" s="13">
        <f>VLOOKUP(B35,Table1[[Player]:[FP/G]],7,FALSE)</f>
        <v>5.7708254002486301</v>
      </c>
      <c r="D35" s="14">
        <f>COUNT($C$6:C35)</f>
        <v>30</v>
      </c>
      <c r="E35" s="13">
        <f t="shared" si="0"/>
        <v>1.3536668955899298</v>
      </c>
    </row>
    <row r="36" spans="2:5" x14ac:dyDescent="0.25">
      <c r="B36" s="1" t="str">
        <v>Bo Horvat</v>
      </c>
      <c r="C36" s="13">
        <f>VLOOKUP(B36,Table1[[Player]:[FP/G]],7,FALSE)</f>
        <v>5.7486949433163996</v>
      </c>
      <c r="D36" s="14">
        <f>COUNT($C$6:C36)</f>
        <v>31</v>
      </c>
      <c r="E36" s="13">
        <f t="shared" si="0"/>
        <v>1.3315364386576993</v>
      </c>
    </row>
    <row r="37" spans="2:5" x14ac:dyDescent="0.25">
      <c r="B37" s="1" t="str">
        <v>Sam Bennett</v>
      </c>
      <c r="C37" s="13">
        <f>VLOOKUP(B37,Table1[[Player]:[FP/G]],7,FALSE)</f>
        <v>5.7376863836031502</v>
      </c>
      <c r="D37" s="14">
        <f>COUNT($C$6:C37)</f>
        <v>32</v>
      </c>
      <c r="E37" s="13">
        <f t="shared" si="0"/>
        <v>1.3205278789444499</v>
      </c>
    </row>
    <row r="38" spans="2:5" x14ac:dyDescent="0.25">
      <c r="B38" s="1" t="str">
        <v>Quinton Byfield</v>
      </c>
      <c r="C38" s="13">
        <f>VLOOKUP(B38,Table1[[Player]:[FP/G]],7,FALSE)</f>
        <v>5.4423788462091096</v>
      </c>
      <c r="D38" s="14">
        <f>COUNT($C$6:C38)</f>
        <v>33</v>
      </c>
      <c r="E38" s="13">
        <f t="shared" si="0"/>
        <v>1.0252203415504093</v>
      </c>
    </row>
    <row r="39" spans="2:5" x14ac:dyDescent="0.25">
      <c r="B39" s="1" t="str">
        <v>Brock Nelson</v>
      </c>
      <c r="C39" s="13">
        <f>VLOOKUP(B39,Table1[[Player]:[FP/G]],7,FALSE)</f>
        <v>5.4035926937187302</v>
      </c>
      <c r="D39" s="14">
        <f>COUNT($C$6:C39)</f>
        <v>34</v>
      </c>
      <c r="E39" s="13">
        <f t="shared" si="0"/>
        <v>0.98643418906002989</v>
      </c>
    </row>
    <row r="40" spans="2:5" x14ac:dyDescent="0.25">
      <c r="B40" s="1" t="str">
        <v>Mikael Granlund</v>
      </c>
      <c r="C40" s="13">
        <f>VLOOKUP(B40,Table1[[Player]:[FP/G]],7,FALSE)</f>
        <v>5.3906859865565497</v>
      </c>
      <c r="D40" s="14">
        <f>COUNT($C$6:C40)</f>
        <v>35</v>
      </c>
      <c r="E40" s="13">
        <f t="shared" si="0"/>
        <v>0.97352748189784943</v>
      </c>
    </row>
    <row r="41" spans="2:5" x14ac:dyDescent="0.25">
      <c r="B41" s="1" t="str">
        <v>Elias Pettersson</v>
      </c>
      <c r="C41" s="13">
        <f>VLOOKUP(B41,Table1[[Player]:[FP/G]],7,FALSE)</f>
        <v>5.2679914760130497</v>
      </c>
      <c r="D41" s="14">
        <f>COUNT($C$6:C41)</f>
        <v>36</v>
      </c>
      <c r="E41" s="13">
        <f t="shared" si="0"/>
        <v>0.85083297135434943</v>
      </c>
    </row>
    <row r="42" spans="2:5" x14ac:dyDescent="0.25">
      <c r="B42" s="1" t="str">
        <v>William Karlsson</v>
      </c>
      <c r="C42" s="13">
        <f>VLOOKUP(B42,Table1[[Player]:[FP/G]],7,FALSE)</f>
        <v>5.2591625115803797</v>
      </c>
      <c r="D42" s="14">
        <f>COUNT($C$6:C42)</f>
        <v>37</v>
      </c>
      <c r="E42" s="13">
        <f t="shared" si="0"/>
        <v>0.84200400692167943</v>
      </c>
    </row>
    <row r="43" spans="2:5" x14ac:dyDescent="0.25">
      <c r="B43" s="1" t="str">
        <v>Pavel Buchnevich</v>
      </c>
      <c r="C43" s="13">
        <f>VLOOKUP(B43,Table1[[Player]:[FP/G]],7,FALSE)</f>
        <v>5.1450555619980802</v>
      </c>
      <c r="D43" s="14">
        <f>COUNT($C$6:C43)</f>
        <v>38</v>
      </c>
      <c r="E43" s="13">
        <f t="shared" si="0"/>
        <v>0.72789705733937993</v>
      </c>
    </row>
    <row r="44" spans="2:5" x14ac:dyDescent="0.25">
      <c r="B44" s="1" t="str">
        <v>Joel Eriksson Ek</v>
      </c>
      <c r="C44" s="13">
        <f>VLOOKUP(B44,Table1[[Player]:[FP/G]],7,FALSE)</f>
        <v>5.0537669447579097</v>
      </c>
      <c r="D44" s="14">
        <f>COUNT($C$6:C44)</f>
        <v>39</v>
      </c>
      <c r="E44" s="13">
        <f t="shared" si="0"/>
        <v>0.63660844009920936</v>
      </c>
    </row>
    <row r="45" spans="2:5" x14ac:dyDescent="0.25">
      <c r="B45" s="1" t="str">
        <v>Steven Stamkos</v>
      </c>
      <c r="C45" s="13">
        <f>VLOOKUP(B45,Table1[[Player]:[FP/G]],7,FALSE)</f>
        <v>5.0302203985892504</v>
      </c>
      <c r="D45" s="14">
        <f>COUNT($C$6:C45)</f>
        <v>40</v>
      </c>
      <c r="E45" s="13">
        <f t="shared" si="0"/>
        <v>0.61306189393055011</v>
      </c>
    </row>
    <row r="46" spans="2:5" x14ac:dyDescent="0.25">
      <c r="B46" s="1" t="str">
        <v>Ryan Nugent-Hopkins</v>
      </c>
      <c r="C46" s="13">
        <f>VLOOKUP(B46,Table1[[Player]:[FP/G]],7,FALSE)</f>
        <v>4.9813103192058801</v>
      </c>
      <c r="D46" s="14">
        <f>COUNT($C$6:C46)</f>
        <v>41</v>
      </c>
      <c r="E46" s="13">
        <f t="shared" si="0"/>
        <v>0.56415181454717978</v>
      </c>
    </row>
    <row r="47" spans="2:5" x14ac:dyDescent="0.25">
      <c r="B47" s="1" t="str">
        <v>Casey Mittelstadt</v>
      </c>
      <c r="C47" s="13">
        <f>VLOOKUP(B47,Table1[[Player]:[FP/G]],7,FALSE)</f>
        <v>4.9635426551362603</v>
      </c>
      <c r="D47" s="14">
        <f>COUNT($C$6:C47)</f>
        <v>42</v>
      </c>
      <c r="E47" s="13">
        <f t="shared" si="0"/>
        <v>0.54638415047755995</v>
      </c>
    </row>
    <row r="48" spans="2:5" x14ac:dyDescent="0.25">
      <c r="B48" s="1" t="str">
        <v>Yegor Sharangovich</v>
      </c>
      <c r="C48" s="13">
        <f>VLOOKUP(B48,Table1[[Player]:[FP/G]],7,FALSE)</f>
        <v>4.9515967798105596</v>
      </c>
      <c r="D48" s="14">
        <f>COUNT($C$6:C48)</f>
        <v>43</v>
      </c>
      <c r="E48" s="13">
        <f t="shared" si="0"/>
        <v>0.53443827515185927</v>
      </c>
    </row>
    <row r="49" spans="2:5" x14ac:dyDescent="0.25">
      <c r="B49" s="1" t="str">
        <v>Elias Lindholm</v>
      </c>
      <c r="C49" s="13">
        <f>VLOOKUP(B49,Table1[[Player]:[FP/G]],7,FALSE)</f>
        <v>4.9259360901903202</v>
      </c>
      <c r="D49" s="14">
        <f>COUNT($C$6:C49)</f>
        <v>44</v>
      </c>
      <c r="E49" s="13">
        <f t="shared" si="0"/>
        <v>0.50877758553161989</v>
      </c>
    </row>
    <row r="50" spans="2:5" x14ac:dyDescent="0.25">
      <c r="B50" s="1" t="str">
        <v>Anze Kopitar</v>
      </c>
      <c r="C50" s="13">
        <f>VLOOKUP(B50,Table1[[Player]:[FP/G]],7,FALSE)</f>
        <v>4.9249326492071903</v>
      </c>
      <c r="D50" s="14">
        <f>COUNT($C$6:C50)</f>
        <v>45</v>
      </c>
      <c r="E50" s="13">
        <f t="shared" si="0"/>
        <v>0.50777414454849001</v>
      </c>
    </row>
    <row r="51" spans="2:5" x14ac:dyDescent="0.25">
      <c r="B51" s="1" t="str">
        <v>Mathew Barzal</v>
      </c>
      <c r="C51" s="13">
        <f>VLOOKUP(B51,Table1[[Player]:[FP/G]],7,FALSE)</f>
        <v>4.9153798077189004</v>
      </c>
      <c r="D51" s="14">
        <f>COUNT($C$6:C51)</f>
        <v>46</v>
      </c>
      <c r="E51" s="13">
        <f t="shared" si="0"/>
        <v>0.49822130306020007</v>
      </c>
    </row>
    <row r="52" spans="2:5" x14ac:dyDescent="0.25">
      <c r="B52" s="1" t="str">
        <v>Evgeni Malkin</v>
      </c>
      <c r="C52" s="13">
        <f>VLOOKUP(B52,Table1[[Player]:[FP/G]],7,FALSE)</f>
        <v>4.9115389854197202</v>
      </c>
      <c r="D52" s="14">
        <f>COUNT($C$6:C52)</f>
        <v>47</v>
      </c>
      <c r="E52" s="13">
        <f t="shared" si="0"/>
        <v>0.49438048076101992</v>
      </c>
    </row>
    <row r="53" spans="2:5" x14ac:dyDescent="0.25">
      <c r="B53" s="1" t="str">
        <v>Marco Rossi</v>
      </c>
      <c r="C53" s="13">
        <f>VLOOKUP(B53,Table1[[Player]:[FP/G]],7,FALSE)</f>
        <v>4.89021137876954</v>
      </c>
      <c r="D53" s="14">
        <f>COUNT($C$6:C53)</f>
        <v>48</v>
      </c>
      <c r="E53" s="13">
        <f t="shared" si="0"/>
        <v>0.47305287411083974</v>
      </c>
    </row>
    <row r="54" spans="2:5" x14ac:dyDescent="0.25">
      <c r="B54" s="1" t="str">
        <v>Charlie Coyle</v>
      </c>
      <c r="C54" s="13">
        <f>VLOOKUP(B54,Table1[[Player]:[FP/G]],7,FALSE)</f>
        <v>4.80265548579988</v>
      </c>
      <c r="D54" s="14">
        <f>COUNT($C$6:C54)</f>
        <v>49</v>
      </c>
      <c r="E54" s="13">
        <f t="shared" si="0"/>
        <v>0.3854969811411797</v>
      </c>
    </row>
    <row r="55" spans="2:5" x14ac:dyDescent="0.25">
      <c r="B55" s="1" t="str">
        <v>Mason McTavish</v>
      </c>
      <c r="C55" s="13">
        <f>VLOOKUP(B55,Table1[[Player]:[FP/G]],7,FALSE)</f>
        <v>4.7870543642024002</v>
      </c>
      <c r="D55" s="14">
        <f>COUNT($C$6:C55)</f>
        <v>50</v>
      </c>
      <c r="E55" s="13">
        <f t="shared" si="0"/>
        <v>0.36989585954369986</v>
      </c>
    </row>
    <row r="56" spans="2:5" x14ac:dyDescent="0.25">
      <c r="B56" s="1" t="str">
        <v>Dylan Cozens</v>
      </c>
      <c r="C56" s="13">
        <f>VLOOKUP(B56,Table1[[Player]:[FP/G]],7,FALSE)</f>
        <v>4.7681635758740599</v>
      </c>
      <c r="D56" s="14">
        <f>COUNT($C$6:C56)</f>
        <v>51</v>
      </c>
      <c r="E56" s="13">
        <f t="shared" si="0"/>
        <v>0.35100507121535962</v>
      </c>
    </row>
    <row r="57" spans="2:5" x14ac:dyDescent="0.25">
      <c r="B57" s="1" t="str">
        <v>Tyler Seguin</v>
      </c>
      <c r="C57" s="13">
        <f>VLOOKUP(B57,Table1[[Player]:[FP/G]],7,FALSE)</f>
        <v>4.6398861175177402</v>
      </c>
      <c r="D57" s="14">
        <f>COUNT($C$6:C57)</f>
        <v>52</v>
      </c>
      <c r="E57" s="13">
        <f t="shared" si="0"/>
        <v>0.22272761285903986</v>
      </c>
    </row>
    <row r="58" spans="2:5" x14ac:dyDescent="0.25">
      <c r="B58" s="1" t="str">
        <v>Ross Colton</v>
      </c>
      <c r="C58" s="13">
        <f>VLOOKUP(B58,Table1[[Player]:[FP/G]],7,FALSE)</f>
        <v>4.6053511836852099</v>
      </c>
      <c r="D58" s="14">
        <f>COUNT($C$6:C58)</f>
        <v>53</v>
      </c>
      <c r="E58" s="13">
        <f t="shared" si="0"/>
        <v>0.1881926790265096</v>
      </c>
    </row>
    <row r="59" spans="2:5" x14ac:dyDescent="0.25">
      <c r="B59" s="1" t="str">
        <v>Pavel Zacha</v>
      </c>
      <c r="C59" s="13">
        <f>VLOOKUP(B59,Table1[[Player]:[FP/G]],7,FALSE)</f>
        <v>4.5019730608196697</v>
      </c>
      <c r="D59" s="14">
        <f>COUNT($C$6:C59)</f>
        <v>54</v>
      </c>
      <c r="E59" s="13">
        <f t="shared" si="0"/>
        <v>8.4814556160969445E-2</v>
      </c>
    </row>
    <row r="60" spans="2:5" x14ac:dyDescent="0.25">
      <c r="B60" s="1" t="str">
        <v>Ryan OReilly</v>
      </c>
      <c r="C60" s="13">
        <f>VLOOKUP(B60,Table1[[Player]:[FP/G]],7,FALSE)</f>
        <v>4.4471639259872102</v>
      </c>
      <c r="D60" s="14">
        <f>COUNT($C$6:C60)</f>
        <v>55</v>
      </c>
      <c r="E60" s="13">
        <f t="shared" si="0"/>
        <v>3.0005421328509918E-2</v>
      </c>
    </row>
    <row r="61" spans="2:5" x14ac:dyDescent="0.25">
      <c r="B61" s="1" t="str">
        <v>Shane Pinto</v>
      </c>
      <c r="C61" s="13">
        <f>VLOOKUP(B61,Table1[[Player]:[FP/G]],7,FALSE)</f>
        <v>4.4171585046587003</v>
      </c>
      <c r="D61" s="14">
        <f>COUNT($C$6:C61)</f>
        <v>56</v>
      </c>
      <c r="E61" s="13">
        <f t="shared" si="0"/>
        <v>0</v>
      </c>
    </row>
    <row r="62" spans="2:5" x14ac:dyDescent="0.25">
      <c r="B62" s="1" t="str">
        <v>Boone Jenner</v>
      </c>
      <c r="C62" s="13">
        <f>VLOOKUP(B62,Table1[[Player]:[FP/G]],7,FALSE)</f>
        <v>4.3478995352518099</v>
      </c>
      <c r="D62" s="14">
        <f>COUNT($C$6:C62)</f>
        <v>57</v>
      </c>
      <c r="E62" s="13">
        <f t="shared" si="0"/>
        <v>-6.9258969406890358E-2</v>
      </c>
    </row>
    <row r="63" spans="2:5" x14ac:dyDescent="0.25">
      <c r="B63" s="1" t="str">
        <v>Connor McMichael</v>
      </c>
      <c r="C63" s="13">
        <f>VLOOKUP(B63,Table1[[Player]:[FP/G]],7,FALSE)</f>
        <v>4.2252209825788203</v>
      </c>
      <c r="D63" s="14">
        <f>COUNT($C$6:C63)</f>
        <v>58</v>
      </c>
      <c r="E63" s="13">
        <f t="shared" si="0"/>
        <v>-0.19193752207988002</v>
      </c>
    </row>
    <row r="64" spans="2:5" x14ac:dyDescent="0.25">
      <c r="B64" s="1" t="str">
        <v>Matty Beniers</v>
      </c>
      <c r="C64" s="13">
        <f>VLOOKUP(B64,Table1[[Player]:[FP/G]],7,FALSE)</f>
        <v>4.2084613753647497</v>
      </c>
      <c r="D64" s="14">
        <f>COUNT($C$6:C64)</f>
        <v>59</v>
      </c>
      <c r="E64" s="13">
        <f t="shared" si="0"/>
        <v>-0.20869712929395057</v>
      </c>
    </row>
    <row r="65" spans="2:5" x14ac:dyDescent="0.25">
      <c r="B65" s="1" t="str">
        <v>Brayden Schenn</v>
      </c>
      <c r="C65" s="13">
        <f>VLOOKUP(B65,Table1[[Player]:[FP/G]],7,FALSE)</f>
        <v>4.1767904627159096</v>
      </c>
      <c r="D65" s="14">
        <f>COUNT($C$6:C65)</f>
        <v>60</v>
      </c>
      <c r="E65" s="13">
        <f t="shared" si="0"/>
        <v>-0.24036804194279071</v>
      </c>
    </row>
    <row r="66" spans="2:5" x14ac:dyDescent="0.25">
      <c r="B66" s="1" t="str">
        <v>Anthony Cirelli</v>
      </c>
      <c r="C66" s="13">
        <f>VLOOKUP(B66,Table1[[Player]:[FP/G]],7,FALSE)</f>
        <v>4.1346149725512502</v>
      </c>
      <c r="D66" s="14">
        <f>COUNT($C$6:C66)</f>
        <v>61</v>
      </c>
      <c r="E66" s="13">
        <f t="shared" si="0"/>
        <v>-0.28254353210745009</v>
      </c>
    </row>
    <row r="67" spans="2:5" x14ac:dyDescent="0.25">
      <c r="B67" s="1" t="str">
        <v>Josh Norris</v>
      </c>
      <c r="C67" s="13">
        <f>VLOOKUP(B67,Table1[[Player]:[FP/G]],7,FALSE)</f>
        <v>4.0901115166684097</v>
      </c>
      <c r="D67" s="14">
        <f>COUNT($C$6:C67)</f>
        <v>62</v>
      </c>
      <c r="E67" s="13">
        <f t="shared" si="0"/>
        <v>-0.32704698799029064</v>
      </c>
    </row>
    <row r="68" spans="2:5" x14ac:dyDescent="0.25">
      <c r="B68" s="1" t="str">
        <v>Anton Lundell</v>
      </c>
      <c r="C68" s="13">
        <f>VLOOKUP(B68,Table1[[Player]:[FP/G]],7,FALSE)</f>
        <v>4.0449692410367097</v>
      </c>
      <c r="D68" s="14">
        <f>COUNT($C$6:C68)</f>
        <v>63</v>
      </c>
      <c r="E68" s="13">
        <f t="shared" si="0"/>
        <v>-0.37218926362199056</v>
      </c>
    </row>
    <row r="69" spans="2:5" x14ac:dyDescent="0.25">
      <c r="B69" s="1" t="str">
        <v>Morgan Geekie</v>
      </c>
      <c r="C69" s="13">
        <f>VLOOKUP(B69,Table1[[Player]:[FP/G]],7,FALSE)</f>
        <v>4.0276133457508703</v>
      </c>
      <c r="D69" s="14">
        <f>COUNT($C$6:C69)</f>
        <v>64</v>
      </c>
      <c r="E69" s="13">
        <f t="shared" si="0"/>
        <v>-0.38954515890783004</v>
      </c>
    </row>
    <row r="70" spans="2:5" x14ac:dyDescent="0.25">
      <c r="B70" s="1" t="str">
        <v>Dawson Mercer</v>
      </c>
      <c r="C70" s="13">
        <f>VLOOKUP(B70,Table1[[Player]:[FP/G]],7,FALSE)</f>
        <v>4.0172753314460703</v>
      </c>
      <c r="D70" s="14">
        <f>COUNT($C$6:C70)</f>
        <v>65</v>
      </c>
      <c r="E70" s="13">
        <f t="shared" si="0"/>
        <v>-0.39988317321263001</v>
      </c>
    </row>
    <row r="71" spans="2:5" x14ac:dyDescent="0.25">
      <c r="B71" s="1" t="str">
        <v>J.T. Compher</v>
      </c>
      <c r="C71" s="13">
        <f>VLOOKUP(B71,Table1[[Player]:[FP/G]],7,FALSE)</f>
        <v>3.8980404275518601</v>
      </c>
      <c r="D71" s="14">
        <f>COUNT($C$6:C71)</f>
        <v>66</v>
      </c>
      <c r="E71" s="13">
        <f t="shared" ref="E71:E134" si="1">C71-VLOOKUP($C$3,$B$6:$D$187,2,FALSE)</f>
        <v>-0.51911807710684021</v>
      </c>
    </row>
    <row r="72" spans="2:5" x14ac:dyDescent="0.25">
      <c r="B72" s="1" t="str">
        <v>Barrett Hayton</v>
      </c>
      <c r="C72" s="13">
        <f>VLOOKUP(B72,Table1[[Player]:[FP/G]],7,FALSE)</f>
        <v>3.8791190417175798</v>
      </c>
      <c r="D72" s="14">
        <f>COUNT($C$6:C72)</f>
        <v>67</v>
      </c>
      <c r="E72" s="13">
        <f t="shared" si="1"/>
        <v>-0.53803946294112048</v>
      </c>
    </row>
    <row r="73" spans="2:5" x14ac:dyDescent="0.25">
      <c r="B73" s="1" t="str">
        <v>Chandler Stephenson</v>
      </c>
      <c r="C73" s="13">
        <f>VLOOKUP(B73,Table1[[Player]:[FP/G]],7,FALSE)</f>
        <v>3.8599882256318399</v>
      </c>
      <c r="D73" s="14">
        <f>COUNT($C$6:C73)</f>
        <v>68</v>
      </c>
      <c r="E73" s="13">
        <f t="shared" si="1"/>
        <v>-0.55717027902686045</v>
      </c>
    </row>
    <row r="74" spans="2:5" x14ac:dyDescent="0.25">
      <c r="B74" s="1" t="str">
        <v>Yanni Gourde</v>
      </c>
      <c r="C74" s="13">
        <f>VLOOKUP(B74,Table1[[Player]:[FP/G]],7,FALSE)</f>
        <v>3.8202459591809799</v>
      </c>
      <c r="D74" s="14">
        <f>COUNT($C$6:C74)</f>
        <v>69</v>
      </c>
      <c r="E74" s="13">
        <f t="shared" si="1"/>
        <v>-0.59691254547772044</v>
      </c>
    </row>
    <row r="75" spans="2:5" x14ac:dyDescent="0.25">
      <c r="B75" s="1" t="str">
        <v>Adam Lowry</v>
      </c>
      <c r="C75" s="13">
        <f>VLOOKUP(B75,Table1[[Player]:[FP/G]],7,FALSE)</f>
        <v>3.8135406675194798</v>
      </c>
      <c r="D75" s="14">
        <f>COUNT($C$6:C75)</f>
        <v>70</v>
      </c>
      <c r="E75" s="13">
        <f t="shared" si="1"/>
        <v>-0.60361783713922046</v>
      </c>
    </row>
    <row r="76" spans="2:5" x14ac:dyDescent="0.25">
      <c r="B76" s="1" t="str">
        <v>Ryan Hartman</v>
      </c>
      <c r="C76" s="13">
        <f>VLOOKUP(B76,Table1[[Player]:[FP/G]],7,FALSE)</f>
        <v>3.8081960155392398</v>
      </c>
      <c r="D76" s="14">
        <f>COUNT($C$6:C76)</f>
        <v>71</v>
      </c>
      <c r="E76" s="13">
        <f t="shared" si="1"/>
        <v>-0.60896248911946049</v>
      </c>
    </row>
    <row r="77" spans="2:5" x14ac:dyDescent="0.25">
      <c r="B77" s="1" t="str">
        <v>Erik Haula</v>
      </c>
      <c r="C77" s="13">
        <f>VLOOKUP(B77,Table1[[Player]:[FP/G]],7,FALSE)</f>
        <v>3.7717277324026401</v>
      </c>
      <c r="D77" s="14">
        <f>COUNT($C$6:C77)</f>
        <v>72</v>
      </c>
      <c r="E77" s="13">
        <f t="shared" si="1"/>
        <v>-0.64543077225606016</v>
      </c>
    </row>
    <row r="78" spans="2:5" x14ac:dyDescent="0.25">
      <c r="B78" s="1" t="str">
        <v>Phillip Danault</v>
      </c>
      <c r="C78" s="13">
        <f>VLOOKUP(B78,Table1[[Player]:[FP/G]],7,FALSE)</f>
        <v>3.7484729529847498</v>
      </c>
      <c r="D78" s="14">
        <f>COUNT($C$6:C78)</f>
        <v>73</v>
      </c>
      <c r="E78" s="13">
        <f t="shared" si="1"/>
        <v>-0.6686855516739505</v>
      </c>
    </row>
    <row r="79" spans="2:5" x14ac:dyDescent="0.25">
      <c r="B79" s="1" t="str">
        <v>Nick Paul</v>
      </c>
      <c r="C79" s="13">
        <f>VLOOKUP(B79,Table1[[Player]:[FP/G]],7,FALSE)</f>
        <v>3.74203510688772</v>
      </c>
      <c r="D79" s="14">
        <f>COUNT($C$6:C79)</f>
        <v>74</v>
      </c>
      <c r="E79" s="13">
        <f t="shared" si="1"/>
        <v>-0.67512339777098029</v>
      </c>
    </row>
    <row r="80" spans="2:5" x14ac:dyDescent="0.25">
      <c r="B80" s="1" t="str">
        <v>Cole Sillinger</v>
      </c>
      <c r="C80" s="13">
        <f>VLOOKUP(B80,Table1[[Player]:[FP/G]],7,FALSE)</f>
        <v>3.7414179216936501</v>
      </c>
      <c r="D80" s="14">
        <f>COUNT($C$6:C80)</f>
        <v>75</v>
      </c>
      <c r="E80" s="13">
        <f t="shared" si="1"/>
        <v>-0.67574058296505024</v>
      </c>
    </row>
    <row r="81" spans="2:5" x14ac:dyDescent="0.25">
      <c r="B81" s="1" t="str">
        <v>Alexander Kerfoot</v>
      </c>
      <c r="C81" s="13">
        <f>VLOOKUP(B81,Table1[[Player]:[FP/G]],7,FALSE)</f>
        <v>3.7298277923614598</v>
      </c>
      <c r="D81" s="14">
        <f>COUNT($C$6:C81)</f>
        <v>76</v>
      </c>
      <c r="E81" s="13">
        <f t="shared" si="1"/>
        <v>-0.68733071229724052</v>
      </c>
    </row>
    <row r="82" spans="2:5" x14ac:dyDescent="0.25">
      <c r="B82" s="1" t="str">
        <v>Morgan Frost</v>
      </c>
      <c r="C82" s="13">
        <f>VLOOKUP(B82,Table1[[Player]:[FP/G]],7,FALSE)</f>
        <v>3.7242423838027898</v>
      </c>
      <c r="D82" s="14">
        <f>COUNT($C$6:C82)</f>
        <v>77</v>
      </c>
      <c r="E82" s="13">
        <f t="shared" si="1"/>
        <v>-0.69291612085591048</v>
      </c>
    </row>
    <row r="83" spans="2:5" x14ac:dyDescent="0.25">
      <c r="B83" s="1" t="str">
        <v>Adam Henrique</v>
      </c>
      <c r="C83" s="13">
        <f>VLOOKUP(B83,Table1[[Player]:[FP/G]],7,FALSE)</f>
        <v>3.71728264883801</v>
      </c>
      <c r="D83" s="14">
        <f>COUNT($C$6:C83)</f>
        <v>78</v>
      </c>
      <c r="E83" s="13">
        <f t="shared" si="1"/>
        <v>-0.69987585582069034</v>
      </c>
    </row>
    <row r="84" spans="2:5" x14ac:dyDescent="0.25">
      <c r="B84" s="1" t="str">
        <v>Philipp Kurashev</v>
      </c>
      <c r="C84" s="13">
        <f>VLOOKUP(B84,Table1[[Player]:[FP/G]],7,FALSE)</f>
        <v>3.7117948775446399</v>
      </c>
      <c r="D84" s="14">
        <f>COUNT($C$6:C84)</f>
        <v>79</v>
      </c>
      <c r="E84" s="13">
        <f t="shared" si="1"/>
        <v>-0.70536362711406042</v>
      </c>
    </row>
    <row r="85" spans="2:5" x14ac:dyDescent="0.25">
      <c r="B85" s="1" t="str">
        <v>Ridly Greig</v>
      </c>
      <c r="C85" s="13">
        <f>VLOOKUP(B85,Table1[[Player]:[FP/G]],7,FALSE)</f>
        <v>3.7024940627585301</v>
      </c>
      <c r="D85" s="14">
        <f>COUNT($C$6:C85)</f>
        <v>80</v>
      </c>
      <c r="E85" s="13">
        <f t="shared" si="1"/>
        <v>-0.7146644419001702</v>
      </c>
    </row>
    <row r="86" spans="2:5" x14ac:dyDescent="0.25">
      <c r="B86" s="1" t="str">
        <v>Jean-Gabriel Pageau</v>
      </c>
      <c r="C86" s="13">
        <f>VLOOKUP(B86,Table1[[Player]:[FP/G]],7,FALSE)</f>
        <v>3.69893557770262</v>
      </c>
      <c r="D86" s="14">
        <f>COUNT($C$6:C86)</f>
        <v>81</v>
      </c>
      <c r="E86" s="13">
        <f t="shared" si="1"/>
        <v>-0.71822292695608025</v>
      </c>
    </row>
    <row r="87" spans="2:5" x14ac:dyDescent="0.25">
      <c r="B87" s="1" t="str">
        <v>Nick Bjugstad</v>
      </c>
      <c r="C87" s="13">
        <f>VLOOKUP(B87,Table1[[Player]:[FP/G]],7,FALSE)</f>
        <v>3.6751513087526</v>
      </c>
      <c r="D87" s="14">
        <f>COUNT($C$6:C87)</f>
        <v>82</v>
      </c>
      <c r="E87" s="13">
        <f t="shared" si="1"/>
        <v>-0.74200719590610031</v>
      </c>
    </row>
    <row r="88" spans="2:5" x14ac:dyDescent="0.25">
      <c r="B88" s="1" t="str">
        <v>Nicolas Roy</v>
      </c>
      <c r="C88" s="13">
        <f>VLOOKUP(B88,Table1[[Player]:[FP/G]],7,FALSE)</f>
        <v>3.6172261943152302</v>
      </c>
      <c r="D88" s="14">
        <f>COUNT($C$6:C88)</f>
        <v>83</v>
      </c>
      <c r="E88" s="13">
        <f t="shared" si="1"/>
        <v>-0.79993231034347012</v>
      </c>
    </row>
    <row r="89" spans="2:5" x14ac:dyDescent="0.25">
      <c r="B89" s="1" t="str">
        <v>Tommy Novak</v>
      </c>
      <c r="C89" s="13">
        <f>VLOOKUP(B89,Table1[[Player]:[FP/G]],7,FALSE)</f>
        <v>3.57570259456008</v>
      </c>
      <c r="D89" s="14">
        <f>COUNT($C$6:C89)</f>
        <v>84</v>
      </c>
      <c r="E89" s="13">
        <f t="shared" si="1"/>
        <v>-0.84145591009862031</v>
      </c>
    </row>
    <row r="90" spans="2:5" x14ac:dyDescent="0.25">
      <c r="B90" s="1" t="str">
        <v>Vladislav Namestnikov</v>
      </c>
      <c r="C90" s="13">
        <f>VLOOKUP(B90,Table1[[Player]:[FP/G]],7,FALSE)</f>
        <v>3.5709071179459602</v>
      </c>
      <c r="D90" s="14">
        <f>COUNT($C$6:C90)</f>
        <v>85</v>
      </c>
      <c r="E90" s="13">
        <f t="shared" si="1"/>
        <v>-0.84625138671274014</v>
      </c>
    </row>
    <row r="91" spans="2:5" x14ac:dyDescent="0.25">
      <c r="B91" s="1" t="str">
        <v>Jordan Staal</v>
      </c>
      <c r="C91" s="13">
        <f>VLOOKUP(B91,Table1[[Player]:[FP/G]],7,FALSE)</f>
        <v>3.5536394489917602</v>
      </c>
      <c r="D91" s="14">
        <f>COUNT($C$6:C91)</f>
        <v>86</v>
      </c>
      <c r="E91" s="13">
        <f t="shared" si="1"/>
        <v>-0.86351905566694009</v>
      </c>
    </row>
    <row r="92" spans="2:5" x14ac:dyDescent="0.25">
      <c r="B92" s="1" t="str">
        <v>Mikael Backlund</v>
      </c>
      <c r="C92" s="13">
        <f>VLOOKUP(B92,Table1[[Player]:[FP/G]],7,FALSE)</f>
        <v>3.5534273000275598</v>
      </c>
      <c r="D92" s="14">
        <f>COUNT($C$6:C92)</f>
        <v>87</v>
      </c>
      <c r="E92" s="13">
        <f t="shared" si="1"/>
        <v>-0.8637312046311405</v>
      </c>
    </row>
    <row r="93" spans="2:5" x14ac:dyDescent="0.25">
      <c r="B93" s="1" t="str">
        <v>Pius Suter</v>
      </c>
      <c r="C93" s="13">
        <f>VLOOKUP(B93,Table1[[Player]:[FP/G]],7,FALSE)</f>
        <v>3.5420495837627399</v>
      </c>
      <c r="D93" s="14">
        <f>COUNT($C$6:C93)</f>
        <v>88</v>
      </c>
      <c r="E93" s="13">
        <f t="shared" si="1"/>
        <v>-0.87510892089596037</v>
      </c>
    </row>
    <row r="94" spans="2:5" x14ac:dyDescent="0.25">
      <c r="B94" s="1" t="str">
        <v>Scott Laughton</v>
      </c>
      <c r="C94" s="13">
        <f>VLOOKUP(B94,Table1[[Player]:[FP/G]],7,FALSE)</f>
        <v>3.52438537518751</v>
      </c>
      <c r="D94" s="14">
        <f>COUNT($C$6:C94)</f>
        <v>89</v>
      </c>
      <c r="E94" s="13">
        <f t="shared" si="1"/>
        <v>-0.89277312947119025</v>
      </c>
    </row>
    <row r="95" spans="2:5" x14ac:dyDescent="0.25">
      <c r="B95" s="1" t="str">
        <v>Jason Dickinson</v>
      </c>
      <c r="C95" s="13">
        <f>VLOOKUP(B95,Table1[[Player]:[FP/G]],7,FALSE)</f>
        <v>3.5230469443964001</v>
      </c>
      <c r="D95" s="14">
        <f>COUNT($C$6:C95)</f>
        <v>90</v>
      </c>
      <c r="E95" s="13">
        <f t="shared" si="1"/>
        <v>-0.89411156026230021</v>
      </c>
    </row>
    <row r="96" spans="2:5" x14ac:dyDescent="0.25">
      <c r="B96" s="1" t="str">
        <v>Ryan Strome</v>
      </c>
      <c r="C96" s="13">
        <f>VLOOKUP(B96,Table1[[Player]:[FP/G]],7,FALSE)</f>
        <v>3.5132902920729498</v>
      </c>
      <c r="D96" s="14">
        <f>COUNT($C$6:C96)</f>
        <v>91</v>
      </c>
      <c r="E96" s="13">
        <f t="shared" si="1"/>
        <v>-0.90386821258575045</v>
      </c>
    </row>
    <row r="97" spans="2:5" x14ac:dyDescent="0.25">
      <c r="B97" s="1" t="str">
        <v>Jack McBain</v>
      </c>
      <c r="C97" s="13">
        <f>VLOOKUP(B97,Table1[[Player]:[FP/G]],7,FALSE)</f>
        <v>3.5067428637149298</v>
      </c>
      <c r="D97" s="14">
        <f>COUNT($C$6:C97)</f>
        <v>92</v>
      </c>
      <c r="E97" s="13">
        <f t="shared" si="1"/>
        <v>-0.91041564094377048</v>
      </c>
    </row>
    <row r="98" spans="2:5" x14ac:dyDescent="0.25">
      <c r="B98" s="1" t="str">
        <v>Kirby Dach</v>
      </c>
      <c r="C98" s="13">
        <f>VLOOKUP(B98,Table1[[Player]:[FP/G]],7,FALSE)</f>
        <v>3.4884907130115499</v>
      </c>
      <c r="D98" s="14">
        <f>COUNT($C$6:C98)</f>
        <v>93</v>
      </c>
      <c r="E98" s="13">
        <f t="shared" si="1"/>
        <v>-0.92866779164715041</v>
      </c>
    </row>
    <row r="99" spans="2:5" x14ac:dyDescent="0.25">
      <c r="B99" s="1" t="str">
        <v>Alexander Wennberg</v>
      </c>
      <c r="C99" s="13">
        <f>VLOOKUP(B99,Table1[[Player]:[FP/G]],7,FALSE)</f>
        <v>3.45848108446142</v>
      </c>
      <c r="D99" s="14">
        <f>COUNT($C$6:C99)</f>
        <v>94</v>
      </c>
      <c r="E99" s="13">
        <f t="shared" si="1"/>
        <v>-0.95867742019728031</v>
      </c>
    </row>
    <row r="100" spans="2:5" x14ac:dyDescent="0.25">
      <c r="B100" s="1" t="str">
        <v>Jesperi Kotkaniemi</v>
      </c>
      <c r="C100" s="13">
        <f>VLOOKUP(B100,Table1[[Player]:[FP/G]],7,FALSE)</f>
        <v>3.4471293831737899</v>
      </c>
      <c r="D100" s="14">
        <f>COUNT($C$6:C100)</f>
        <v>95</v>
      </c>
      <c r="E100" s="13">
        <f t="shared" si="1"/>
        <v>-0.97002912148491038</v>
      </c>
    </row>
    <row r="101" spans="2:5" x14ac:dyDescent="0.25">
      <c r="B101" s="1" t="str">
        <v>Trevor Zegras</v>
      </c>
      <c r="C101" s="13">
        <f>VLOOKUP(B101,Table1[[Player]:[FP/G]],7,FALSE)</f>
        <v>3.4352418378782099</v>
      </c>
      <c r="D101" s="14">
        <f>COUNT($C$6:C101)</f>
        <v>96</v>
      </c>
      <c r="E101" s="13">
        <f t="shared" si="1"/>
        <v>-0.98191666678049039</v>
      </c>
    </row>
    <row r="102" spans="2:5" x14ac:dyDescent="0.25">
      <c r="B102" s="1" t="str">
        <v>Filip Chytil</v>
      </c>
      <c r="C102" s="13">
        <f>VLOOKUP(B102,Table1[[Player]:[FP/G]],7,FALSE)</f>
        <v>3.4105483705022501</v>
      </c>
      <c r="D102" s="14">
        <f>COUNT($C$6:C102)</f>
        <v>97</v>
      </c>
      <c r="E102" s="13">
        <f t="shared" si="1"/>
        <v>-1.0066101341564502</v>
      </c>
    </row>
    <row r="103" spans="2:5" x14ac:dyDescent="0.25">
      <c r="B103" s="1" t="str">
        <v>Ryan McLeod</v>
      </c>
      <c r="C103" s="13">
        <f>VLOOKUP(B103,Table1[[Player]:[FP/G]],7,FALSE)</f>
        <v>3.39667375954344</v>
      </c>
      <c r="D103" s="14">
        <f>COUNT($C$6:C103)</f>
        <v>98</v>
      </c>
      <c r="E103" s="13">
        <f t="shared" si="1"/>
        <v>-1.0204847451152603</v>
      </c>
    </row>
    <row r="104" spans="2:5" x14ac:dyDescent="0.25">
      <c r="B104" s="1" t="str">
        <v>Alex Turcotte</v>
      </c>
      <c r="C104" s="13">
        <f>VLOOKUP(B104,Table1[[Player]:[FP/G]],7,FALSE)</f>
        <v>3.3895629172408901</v>
      </c>
      <c r="D104" s="14">
        <f>COUNT($C$6:C104)</f>
        <v>99</v>
      </c>
      <c r="E104" s="13">
        <f t="shared" si="1"/>
        <v>-1.0275955874178102</v>
      </c>
    </row>
    <row r="105" spans="2:5" x14ac:dyDescent="0.25">
      <c r="B105" s="1" t="str">
        <v>Colton Sissons</v>
      </c>
      <c r="C105" s="13">
        <f>VLOOKUP(B105,Table1[[Player]:[FP/G]],7,FALSE)</f>
        <v>3.3562044553393702</v>
      </c>
      <c r="D105" s="14">
        <f>COUNT($C$6:C105)</f>
        <v>100</v>
      </c>
      <c r="E105" s="13">
        <f t="shared" si="1"/>
        <v>-1.0609540493193301</v>
      </c>
    </row>
    <row r="106" spans="2:5" x14ac:dyDescent="0.25">
      <c r="B106" s="1" t="str">
        <v>Max Domi</v>
      </c>
      <c r="C106" s="13">
        <f>VLOOKUP(B106,Table1[[Player]:[FP/G]],7,FALSE)</f>
        <v>3.3222974257480402</v>
      </c>
      <c r="D106" s="14">
        <f>COUNT($C$6:C106)</f>
        <v>101</v>
      </c>
      <c r="E106" s="13">
        <f t="shared" si="1"/>
        <v>-1.0948610789106601</v>
      </c>
    </row>
    <row r="107" spans="2:5" x14ac:dyDescent="0.25">
      <c r="B107" s="1" t="str">
        <v>Eetu Luostarinen</v>
      </c>
      <c r="C107" s="13">
        <f>VLOOKUP(B107,Table1[[Player]:[FP/G]],7,FALSE)</f>
        <v>3.3038220751207201</v>
      </c>
      <c r="D107" s="14">
        <f>COUNT($C$6:C107)</f>
        <v>102</v>
      </c>
      <c r="E107" s="13">
        <f t="shared" si="1"/>
        <v>-1.1133364295379802</v>
      </c>
    </row>
    <row r="108" spans="2:5" x14ac:dyDescent="0.25">
      <c r="B108" s="1" t="str">
        <v>Shane Wright</v>
      </c>
      <c r="C108" s="13">
        <f>VLOOKUP(B108,Table1[[Player]:[FP/G]],7,FALSE)</f>
        <v>3.2934544139293802</v>
      </c>
      <c r="D108" s="14">
        <f>COUNT($C$6:C108)</f>
        <v>103</v>
      </c>
      <c r="E108" s="13">
        <f t="shared" si="1"/>
        <v>-1.1237040907293201</v>
      </c>
    </row>
    <row r="109" spans="2:5" x14ac:dyDescent="0.25">
      <c r="B109" s="1" t="str">
        <v>Nic Dowd</v>
      </c>
      <c r="C109" s="13">
        <f>VLOOKUP(B109,Table1[[Player]:[FP/G]],7,FALSE)</f>
        <v>3.2591104039841601</v>
      </c>
      <c r="D109" s="14">
        <f>COUNT($C$6:C109)</f>
        <v>104</v>
      </c>
      <c r="E109" s="13">
        <f t="shared" si="1"/>
        <v>-1.1580481006745402</v>
      </c>
    </row>
    <row r="110" spans="2:5" x14ac:dyDescent="0.25">
      <c r="B110" s="1" t="str">
        <v>Andrew Copp</v>
      </c>
      <c r="C110" s="13">
        <f>VLOOKUP(B110,Table1[[Player]:[FP/G]],7,FALSE)</f>
        <v>3.2218689147933399</v>
      </c>
      <c r="D110" s="14">
        <f>COUNT($C$6:C110)</f>
        <v>105</v>
      </c>
      <c r="E110" s="13">
        <f t="shared" si="1"/>
        <v>-1.1952895898653604</v>
      </c>
    </row>
    <row r="111" spans="2:5" x14ac:dyDescent="0.25">
      <c r="B111" s="1" t="str">
        <v>Lukas Reichel</v>
      </c>
      <c r="C111" s="13">
        <f>VLOOKUP(B111,Table1[[Player]:[FP/G]],7,FALSE)</f>
        <v>3.1812993592726202</v>
      </c>
      <c r="D111" s="14">
        <f>COUNT($C$6:C111)</f>
        <v>106</v>
      </c>
      <c r="E111" s="13">
        <f t="shared" si="1"/>
        <v>-1.2358591453860801</v>
      </c>
    </row>
    <row r="112" spans="2:5" x14ac:dyDescent="0.25">
      <c r="B112" s="1" t="str">
        <v>Ryan Donato</v>
      </c>
      <c r="C112" s="13">
        <f>VLOOKUP(B112,Table1[[Player]:[FP/G]],7,FALSE)</f>
        <v>3.1597179897930299</v>
      </c>
      <c r="D112" s="14">
        <f>COUNT($C$6:C112)</f>
        <v>107</v>
      </c>
      <c r="E112" s="13">
        <f t="shared" si="1"/>
        <v>-1.2574405148656704</v>
      </c>
    </row>
    <row r="113" spans="2:5" x14ac:dyDescent="0.25">
      <c r="B113" s="1" t="str">
        <v>Kevin Stenlund</v>
      </c>
      <c r="C113" s="13">
        <f>VLOOKUP(B113,Table1[[Player]:[FP/G]],7,FALSE)</f>
        <v>3.1491853150354698</v>
      </c>
      <c r="D113" s="14">
        <f>COUNT($C$6:C113)</f>
        <v>108</v>
      </c>
      <c r="E113" s="13">
        <f t="shared" si="1"/>
        <v>-1.2679731896232305</v>
      </c>
    </row>
    <row r="114" spans="2:5" x14ac:dyDescent="0.25">
      <c r="B114" s="1" t="str">
        <v>Noah Cates</v>
      </c>
      <c r="C114" s="13">
        <f>VLOOKUP(B114,Table1[[Player]:[FP/G]],7,FALSE)</f>
        <v>3.1151084386744698</v>
      </c>
      <c r="D114" s="14">
        <f>COUNT($C$6:C114)</f>
        <v>109</v>
      </c>
      <c r="E114" s="13">
        <f t="shared" si="1"/>
        <v>-1.3020500659842305</v>
      </c>
    </row>
    <row r="115" spans="2:5" x14ac:dyDescent="0.25">
      <c r="B115" s="1" t="str">
        <v>Luke Kunin</v>
      </c>
      <c r="C115" s="13">
        <f>VLOOKUP(B115,Table1[[Player]:[FP/G]],7,FALSE)</f>
        <v>3.09341109024759</v>
      </c>
      <c r="D115" s="14">
        <f>COUNT($C$6:C115)</f>
        <v>110</v>
      </c>
      <c r="E115" s="13">
        <f t="shared" si="1"/>
        <v>-1.3237474144111103</v>
      </c>
    </row>
    <row r="116" spans="2:5" x14ac:dyDescent="0.25">
      <c r="B116" s="1" t="str">
        <v>Alex Newhook</v>
      </c>
      <c r="C116" s="13">
        <f>VLOOKUP(B116,Table1[[Player]:[FP/G]],7,FALSE)</f>
        <v>3.0827857113277002</v>
      </c>
      <c r="D116" s="14">
        <f>COUNT($C$6:C116)</f>
        <v>111</v>
      </c>
      <c r="E116" s="13">
        <f t="shared" si="1"/>
        <v>-1.3343727933310001</v>
      </c>
    </row>
    <row r="117" spans="2:5" x14ac:dyDescent="0.25">
      <c r="B117" s="1" t="str">
        <v>Brett Howden</v>
      </c>
      <c r="C117" s="13">
        <f>VLOOKUP(B117,Table1[[Player]:[FP/G]],7,FALSE)</f>
        <v>3.0780773609980798</v>
      </c>
      <c r="D117" s="14">
        <f>COUNT($C$6:C117)</f>
        <v>112</v>
      </c>
      <c r="E117" s="13">
        <f t="shared" si="1"/>
        <v>-1.3390811436606205</v>
      </c>
    </row>
    <row r="118" spans="2:5" x14ac:dyDescent="0.25">
      <c r="B118" s="1" t="str">
        <v>Ryan Poehling</v>
      </c>
      <c r="C118" s="13">
        <f>VLOOKUP(B118,Table1[[Player]:[FP/G]],7,FALSE)</f>
        <v>3.0559695357337899</v>
      </c>
      <c r="D118" s="14">
        <f>COUNT($C$6:C118)</f>
        <v>113</v>
      </c>
      <c r="E118" s="13">
        <f t="shared" si="1"/>
        <v>-1.3611889689249104</v>
      </c>
    </row>
    <row r="119" spans="2:5" x14ac:dyDescent="0.25">
      <c r="B119" s="1" t="str">
        <v>Jack Roslovic</v>
      </c>
      <c r="C119" s="13">
        <f>VLOOKUP(B119,Table1[[Player]:[FP/G]],7,FALSE)</f>
        <v>3.0534725274861798</v>
      </c>
      <c r="D119" s="14">
        <f>COUNT($C$6:C119)</f>
        <v>114</v>
      </c>
      <c r="E119" s="13">
        <f t="shared" si="1"/>
        <v>-1.3636859771725205</v>
      </c>
    </row>
    <row r="120" spans="2:5" x14ac:dyDescent="0.25">
      <c r="B120" s="1" t="str">
        <v>Frederick Gaudreau</v>
      </c>
      <c r="C120" s="13">
        <f>VLOOKUP(B120,Table1[[Player]:[FP/G]],7,FALSE)</f>
        <v>2.98918047365592</v>
      </c>
      <c r="D120" s="14">
        <f>COUNT($C$6:C120)</f>
        <v>115</v>
      </c>
      <c r="E120" s="13">
        <f t="shared" si="1"/>
        <v>-1.4279780310027803</v>
      </c>
    </row>
    <row r="121" spans="2:5" x14ac:dyDescent="0.25">
      <c r="B121" s="1" t="str">
        <v>Michael McCarron</v>
      </c>
      <c r="C121" s="13">
        <f>VLOOKUP(B121,Table1[[Player]:[FP/G]],7,FALSE)</f>
        <v>2.8657956798602799</v>
      </c>
      <c r="D121" s="14">
        <f>COUNT($C$6:C121)</f>
        <v>116</v>
      </c>
      <c r="E121" s="13">
        <f t="shared" si="1"/>
        <v>-1.5513628247984204</v>
      </c>
    </row>
    <row r="122" spans="2:5" x14ac:dyDescent="0.25">
      <c r="B122" s="1" t="str">
        <v>Parker Kelly</v>
      </c>
      <c r="C122" s="13">
        <f>VLOOKUP(B122,Table1[[Player]:[FP/G]],7,FALSE)</f>
        <v>2.8657029149838702</v>
      </c>
      <c r="D122" s="14">
        <f>COUNT($C$6:C122)</f>
        <v>117</v>
      </c>
      <c r="E122" s="13">
        <f t="shared" si="1"/>
        <v>-1.5514555896748301</v>
      </c>
    </row>
    <row r="123" spans="2:5" x14ac:dyDescent="0.25">
      <c r="B123" s="1" t="str">
        <v>Peyton Krebs</v>
      </c>
      <c r="C123" s="13">
        <f>VLOOKUP(B123,Table1[[Player]:[FP/G]],7,FALSE)</f>
        <v>2.8475557131967499</v>
      </c>
      <c r="D123" s="14">
        <f>COUNT($C$6:C123)</f>
        <v>118</v>
      </c>
      <c r="E123" s="13">
        <f t="shared" si="1"/>
        <v>-1.5696027914619504</v>
      </c>
    </row>
    <row r="124" spans="2:5" x14ac:dyDescent="0.25">
      <c r="B124" s="1" t="str">
        <v>Kevin Hayes</v>
      </c>
      <c r="C124" s="13">
        <f>VLOOKUP(B124,Table1[[Player]:[FP/G]],7,FALSE)</f>
        <v>2.8217865739927399</v>
      </c>
      <c r="D124" s="14">
        <f>COUNT($C$6:C124)</f>
        <v>119</v>
      </c>
      <c r="E124" s="13">
        <f t="shared" si="1"/>
        <v>-1.5953719306659604</v>
      </c>
    </row>
    <row r="125" spans="2:5" x14ac:dyDescent="0.25">
      <c r="B125" s="1" t="str">
        <v>Sam Steel</v>
      </c>
      <c r="C125" s="13">
        <f>VLOOKUP(B125,Table1[[Player]:[FP/G]],7,FALSE)</f>
        <v>2.7512213621395101</v>
      </c>
      <c r="D125" s="14">
        <f>COUNT($C$6:C125)</f>
        <v>120</v>
      </c>
      <c r="E125" s="13">
        <f t="shared" si="1"/>
        <v>-1.6659371425191902</v>
      </c>
    </row>
    <row r="126" spans="2:5" x14ac:dyDescent="0.25">
      <c r="B126" s="1" t="str">
        <v>Michael Rasmussen</v>
      </c>
      <c r="C126" s="13">
        <f>VLOOKUP(B126,Table1[[Player]:[FP/G]],7,FALSE)</f>
        <v>2.72812697638921</v>
      </c>
      <c r="D126" s="14">
        <f>COUNT($C$6:C126)</f>
        <v>121</v>
      </c>
      <c r="E126" s="13">
        <f t="shared" si="1"/>
        <v>-1.6890315282694903</v>
      </c>
    </row>
    <row r="127" spans="2:5" x14ac:dyDescent="0.25">
      <c r="B127" s="1" t="str">
        <v>Teddy Blueger</v>
      </c>
      <c r="C127" s="13">
        <f>VLOOKUP(B127,Table1[[Player]:[FP/G]],7,FALSE)</f>
        <v>2.7225206504718602</v>
      </c>
      <c r="D127" s="14">
        <f>COUNT($C$6:C127)</f>
        <v>122</v>
      </c>
      <c r="E127" s="13">
        <f t="shared" si="1"/>
        <v>-1.6946378541868401</v>
      </c>
    </row>
    <row r="128" spans="2:5" x14ac:dyDescent="0.25">
      <c r="B128" s="1" t="str">
        <v>Jesper Boqvist</v>
      </c>
      <c r="C128" s="13">
        <f>VLOOKUP(B128,Table1[[Player]:[FP/G]],7,FALSE)</f>
        <v>2.7160518307900898</v>
      </c>
      <c r="D128" s="14">
        <f>COUNT($C$6:C128)</f>
        <v>123</v>
      </c>
      <c r="E128" s="13">
        <f t="shared" si="1"/>
        <v>-1.7011066738686105</v>
      </c>
    </row>
    <row r="129" spans="2:5" x14ac:dyDescent="0.25">
      <c r="B129" s="1" t="str">
        <v>Sean Kuraly</v>
      </c>
      <c r="C129" s="13">
        <f>VLOOKUP(B129,Table1[[Player]:[FP/G]],7,FALSE)</f>
        <v>2.6566005609879699</v>
      </c>
      <c r="D129" s="14">
        <f>COUNT($C$6:C129)</f>
        <v>124</v>
      </c>
      <c r="E129" s="13">
        <f t="shared" si="1"/>
        <v>-1.7605579436707304</v>
      </c>
    </row>
    <row r="130" spans="2:5" x14ac:dyDescent="0.25">
      <c r="B130" s="1" t="str">
        <v>Jake Evans</v>
      </c>
      <c r="C130" s="13">
        <f>VLOOKUP(B130,Table1[[Player]:[FP/G]],7,FALSE)</f>
        <v>2.6549350457378398</v>
      </c>
      <c r="D130" s="14">
        <f>COUNT($C$6:C130)</f>
        <v>125</v>
      </c>
      <c r="E130" s="13">
        <f t="shared" si="1"/>
        <v>-1.7622234589208605</v>
      </c>
    </row>
    <row r="131" spans="2:5" x14ac:dyDescent="0.25">
      <c r="B131" s="1" t="str">
        <v>Pontus Holmberg</v>
      </c>
      <c r="C131" s="13">
        <f>VLOOKUP(B131,Table1[[Player]:[FP/G]],7,FALSE)</f>
        <v>2.6493327513098199</v>
      </c>
      <c r="D131" s="14">
        <f>COUNT($C$6:C131)</f>
        <v>126</v>
      </c>
      <c r="E131" s="13">
        <f t="shared" si="1"/>
        <v>-1.7678257533488804</v>
      </c>
    </row>
    <row r="132" spans="2:5" x14ac:dyDescent="0.25">
      <c r="B132" s="1" t="str">
        <v>Cody Glass</v>
      </c>
      <c r="C132" s="13">
        <f>VLOOKUP(B132,Table1[[Player]:[FP/G]],7,FALSE)</f>
        <v>2.6432550520184899</v>
      </c>
      <c r="D132" s="14">
        <f>COUNT($C$6:C132)</f>
        <v>127</v>
      </c>
      <c r="E132" s="13">
        <f t="shared" si="1"/>
        <v>-1.7739034526402104</v>
      </c>
    </row>
    <row r="133" spans="2:5" x14ac:dyDescent="0.25">
      <c r="B133" s="1" t="str">
        <v>Christian Dvorak</v>
      </c>
      <c r="C133" s="13">
        <f>VLOOKUP(B133,Table1[[Player]:[FP/G]],7,FALSE)</f>
        <v>2.6247957805487001</v>
      </c>
      <c r="D133" s="14">
        <f>COUNT($C$6:C133)</f>
        <v>128</v>
      </c>
      <c r="E133" s="13">
        <f t="shared" si="1"/>
        <v>-1.7923627241100002</v>
      </c>
    </row>
    <row r="134" spans="2:5" x14ac:dyDescent="0.25">
      <c r="B134" s="1" t="str">
        <v>Jack Drury</v>
      </c>
      <c r="C134" s="13">
        <f>VLOOKUP(B134,Table1[[Player]:[FP/G]],7,FALSE)</f>
        <v>2.6239664699748202</v>
      </c>
      <c r="D134" s="14">
        <f>COUNT($C$6:C134)</f>
        <v>129</v>
      </c>
      <c r="E134" s="13">
        <f t="shared" si="1"/>
        <v>-1.7931920346838801</v>
      </c>
    </row>
    <row r="135" spans="2:5" x14ac:dyDescent="0.25">
      <c r="B135" s="1" t="str">
        <v>Joe Veleno</v>
      </c>
      <c r="C135" s="13">
        <f>VLOOKUP(B135,Table1[[Player]:[FP/G]],7,FALSE)</f>
        <v>2.6112296125750598</v>
      </c>
      <c r="D135" s="14">
        <f>COUNT($C$6:C135)</f>
        <v>130</v>
      </c>
      <c r="E135" s="13">
        <f t="shared" ref="E135:E187" si="2">C135-VLOOKUP($C$3,$B$6:$D$187,2,FALSE)</f>
        <v>-1.8059288920836405</v>
      </c>
    </row>
    <row r="136" spans="2:5" x14ac:dyDescent="0.25">
      <c r="B136" s="1" t="str">
        <v>Lars Eller</v>
      </c>
      <c r="C136" s="13">
        <f>VLOOKUP(B136,Table1[[Player]:[FP/G]],7,FALSE)</f>
        <v>2.5760656137121298</v>
      </c>
      <c r="D136" s="14">
        <f>COUNT($C$6:C136)</f>
        <v>131</v>
      </c>
      <c r="E136" s="13">
        <f t="shared" si="2"/>
        <v>-1.8410928909465705</v>
      </c>
    </row>
    <row r="137" spans="2:5" x14ac:dyDescent="0.25">
      <c r="B137" s="1" t="str">
        <v>Justin Danforth</v>
      </c>
      <c r="C137" s="13">
        <f>VLOOKUP(B137,Table1[[Player]:[FP/G]],7,FALSE)</f>
        <v>2.5663379110615501</v>
      </c>
      <c r="D137" s="14">
        <f>COUNT($C$6:C137)</f>
        <v>132</v>
      </c>
      <c r="E137" s="13">
        <f t="shared" si="2"/>
        <v>-1.8508205935971502</v>
      </c>
    </row>
    <row r="138" spans="2:5" x14ac:dyDescent="0.25">
      <c r="B138" s="1" t="str">
        <v>Connor Dewar</v>
      </c>
      <c r="C138" s="13">
        <f>VLOOKUP(B138,Table1[[Player]:[FP/G]],7,FALSE)</f>
        <v>2.5260451006546001</v>
      </c>
      <c r="D138" s="14">
        <f>COUNT($C$6:C138)</f>
        <v>133</v>
      </c>
      <c r="E138" s="13">
        <f t="shared" si="2"/>
        <v>-1.8911134040041002</v>
      </c>
    </row>
    <row r="139" spans="2:5" x14ac:dyDescent="0.25">
      <c r="B139" s="1" t="str">
        <v>Sam Lafferty</v>
      </c>
      <c r="C139" s="13">
        <f>VLOOKUP(B139,Table1[[Player]:[FP/G]],7,FALSE)</f>
        <v>2.5209544771149499</v>
      </c>
      <c r="D139" s="14">
        <f>COUNT($C$6:C139)</f>
        <v>134</v>
      </c>
      <c r="E139" s="13">
        <f t="shared" si="2"/>
        <v>-1.8962040275437504</v>
      </c>
    </row>
    <row r="140" spans="2:5" x14ac:dyDescent="0.25">
      <c r="B140" s="1" t="str">
        <v>Barclay Goodrow</v>
      </c>
      <c r="C140" s="13">
        <f>VLOOKUP(B140,Table1[[Player]:[FP/G]],7,FALSE)</f>
        <v>2.4774887929183098</v>
      </c>
      <c r="D140" s="14">
        <f>COUNT($C$6:C140)</f>
        <v>135</v>
      </c>
      <c r="E140" s="13">
        <f t="shared" si="2"/>
        <v>-1.9396697117403905</v>
      </c>
    </row>
    <row r="141" spans="2:5" x14ac:dyDescent="0.25">
      <c r="B141" s="1" t="str">
        <v>Zemgus Girgensons</v>
      </c>
      <c r="C141" s="13">
        <f>VLOOKUP(B141,Table1[[Player]:[FP/G]],7,FALSE)</f>
        <v>2.43712317235605</v>
      </c>
      <c r="D141" s="14">
        <f>COUNT($C$6:C141)</f>
        <v>136</v>
      </c>
      <c r="E141" s="13">
        <f t="shared" si="2"/>
        <v>-1.9800353323026503</v>
      </c>
    </row>
    <row r="142" spans="2:5" x14ac:dyDescent="0.25">
      <c r="B142" s="1" t="str">
        <v>Radek Faksa</v>
      </c>
      <c r="C142" s="13">
        <f>VLOOKUP(B142,Table1[[Player]:[FP/G]],7,FALSE)</f>
        <v>2.4323311290624599</v>
      </c>
      <c r="D142" s="14">
        <f>COUNT($C$6:C142)</f>
        <v>137</v>
      </c>
      <c r="E142" s="13">
        <f t="shared" si="2"/>
        <v>-1.9848273755962405</v>
      </c>
    </row>
    <row r="143" spans="2:5" x14ac:dyDescent="0.25">
      <c r="B143" s="1" t="str">
        <v>Sam Carrick</v>
      </c>
      <c r="C143" s="13">
        <f>VLOOKUP(B143,Table1[[Player]:[FP/G]],7,FALSE)</f>
        <v>2.4295888964966799</v>
      </c>
      <c r="D143" s="14">
        <f>COUNT($C$6:C143)</f>
        <v>138</v>
      </c>
      <c r="E143" s="13">
        <f t="shared" si="2"/>
        <v>-1.9875696081620204</v>
      </c>
    </row>
    <row r="144" spans="2:5" x14ac:dyDescent="0.25">
      <c r="B144" s="1" t="str">
        <v>Oskar Sundqvist</v>
      </c>
      <c r="C144" s="13">
        <f>VLOOKUP(B144,Table1[[Player]:[FP/G]],7,FALSE)</f>
        <v>2.3804950526191302</v>
      </c>
      <c r="D144" s="14">
        <f>COUNT($C$6:C144)</f>
        <v>139</v>
      </c>
      <c r="E144" s="13">
        <f t="shared" si="2"/>
        <v>-2.0366634520395701</v>
      </c>
    </row>
    <row r="145" spans="2:5" x14ac:dyDescent="0.25">
      <c r="B145" s="1" t="str">
        <v>Mark Jankowski</v>
      </c>
      <c r="C145" s="13">
        <f>VLOOKUP(B145,Table1[[Player]:[FP/G]],7,FALSE)</f>
        <v>2.3662291646250599</v>
      </c>
      <c r="D145" s="14">
        <f>COUNT($C$6:C145)</f>
        <v>140</v>
      </c>
      <c r="E145" s="13">
        <f t="shared" si="2"/>
        <v>-2.0509293400336404</v>
      </c>
    </row>
    <row r="146" spans="2:5" x14ac:dyDescent="0.25">
      <c r="B146" s="1" t="str">
        <v>Tyler Motte</v>
      </c>
      <c r="C146" s="13">
        <f>VLOOKUP(B146,Table1[[Player]:[FP/G]],7,FALSE)</f>
        <v>2.35328018016902</v>
      </c>
      <c r="D146" s="14">
        <f>COUNT($C$6:C146)</f>
        <v>141</v>
      </c>
      <c r="E146" s="13">
        <f t="shared" si="2"/>
        <v>-2.0638783244896803</v>
      </c>
    </row>
    <row r="147" spans="2:5" x14ac:dyDescent="0.25">
      <c r="B147" s="1" t="str">
        <v>Nico Sturm</v>
      </c>
      <c r="C147" s="13">
        <f>VLOOKUP(B147,Table1[[Player]:[FP/G]],7,FALSE)</f>
        <v>2.34457351905683</v>
      </c>
      <c r="D147" s="14">
        <f>COUNT($C$6:C147)</f>
        <v>142</v>
      </c>
      <c r="E147" s="13">
        <f t="shared" si="2"/>
        <v>-2.0725849856018703</v>
      </c>
    </row>
    <row r="148" spans="2:5" x14ac:dyDescent="0.25">
      <c r="B148" s="1" t="str">
        <v>Casey Cizikas</v>
      </c>
      <c r="C148" s="13">
        <f>VLOOKUP(B148,Table1[[Player]:[FP/G]],7,FALSE)</f>
        <v>2.3218373225906599</v>
      </c>
      <c r="D148" s="14">
        <f>COUNT($C$6:C148)</f>
        <v>143</v>
      </c>
      <c r="E148" s="13">
        <f t="shared" si="2"/>
        <v>-2.0953211820680404</v>
      </c>
    </row>
    <row r="149" spans="2:5" x14ac:dyDescent="0.25">
      <c r="B149" s="1" t="str">
        <v>Noel Acciari</v>
      </c>
      <c r="C149" s="13">
        <f>VLOOKUP(B149,Table1[[Player]:[FP/G]],7,FALSE)</f>
        <v>2.2569926587376901</v>
      </c>
      <c r="D149" s="14">
        <f>COUNT($C$6:C149)</f>
        <v>144</v>
      </c>
      <c r="E149" s="13">
        <f t="shared" si="2"/>
        <v>-2.1601658459210102</v>
      </c>
    </row>
    <row r="150" spans="2:5" x14ac:dyDescent="0.25">
      <c r="B150" s="1" t="str">
        <v>Juuso Parssinen</v>
      </c>
      <c r="C150" s="13">
        <f>VLOOKUP(B150,Table1[[Player]:[FP/G]],7,FALSE)</f>
        <v>2.22411051927853</v>
      </c>
      <c r="D150" s="14">
        <f>COUNT($C$6:C150)</f>
        <v>145</v>
      </c>
      <c r="E150" s="13">
        <f t="shared" si="2"/>
        <v>-2.1930479853801703</v>
      </c>
    </row>
    <row r="151" spans="2:5" x14ac:dyDescent="0.25">
      <c r="B151" s="1" t="str">
        <v>Blake Lizotte</v>
      </c>
      <c r="C151" s="13">
        <f>VLOOKUP(B151,Table1[[Player]:[FP/G]],7,FALSE)</f>
        <v>2.1521791894506799</v>
      </c>
      <c r="D151" s="14">
        <f>COUNT($C$6:C151)</f>
        <v>146</v>
      </c>
      <c r="E151" s="13">
        <f t="shared" si="2"/>
        <v>-2.2649793152080204</v>
      </c>
    </row>
    <row r="152" spans="2:5" x14ac:dyDescent="0.25">
      <c r="B152" s="1" t="str">
        <v>David Kampf</v>
      </c>
      <c r="C152" s="13">
        <f>VLOOKUP(B152,Table1[[Player]:[FP/G]],7,FALSE)</f>
        <v>2.1244879450594798</v>
      </c>
      <c r="D152" s="14">
        <f>COUNT($C$6:C152)</f>
        <v>147</v>
      </c>
      <c r="E152" s="13">
        <f t="shared" si="2"/>
        <v>-2.2926705595992205</v>
      </c>
    </row>
    <row r="153" spans="2:5" x14ac:dyDescent="0.25">
      <c r="B153" s="1" t="str">
        <v>Morgan Barron</v>
      </c>
      <c r="C153" s="13">
        <f>VLOOKUP(B153,Table1[[Player]:[FP/G]],7,FALSE)</f>
        <v>2.1216769948002301</v>
      </c>
      <c r="D153" s="14">
        <f>COUNT($C$6:C153)</f>
        <v>148</v>
      </c>
      <c r="E153" s="13">
        <f t="shared" si="2"/>
        <v>-2.2954815098584702</v>
      </c>
    </row>
    <row r="154" spans="2:5" x14ac:dyDescent="0.25">
      <c r="B154" s="1" t="str">
        <v>Mattias Janmark</v>
      </c>
      <c r="C154" s="13">
        <f>VLOOKUP(B154,Table1[[Player]:[FP/G]],7,FALSE)</f>
        <v>2.0377073623258402</v>
      </c>
      <c r="D154" s="14">
        <f>COUNT($C$6:C154)</f>
        <v>149</v>
      </c>
      <c r="E154" s="13">
        <f t="shared" si="2"/>
        <v>-2.3794511423328601</v>
      </c>
    </row>
    <row r="155" spans="2:5" x14ac:dyDescent="0.25">
      <c r="B155" s="1" t="str">
        <v>Thomas Bordeleau</v>
      </c>
      <c r="C155" s="13">
        <f>VLOOKUP(B155,Table1[[Player]:[FP/G]],7,FALSE)</f>
        <v>1.9958025266900501</v>
      </c>
      <c r="D155" s="14">
        <f>COUNT($C$6:C155)</f>
        <v>150</v>
      </c>
      <c r="E155" s="13">
        <f t="shared" si="2"/>
        <v>-2.4213559779686502</v>
      </c>
    </row>
    <row r="156" spans="2:5" x14ac:dyDescent="0.25">
      <c r="B156" s="1" t="str">
        <v>Curtis Lazar</v>
      </c>
      <c r="C156" s="13">
        <f>VLOOKUP(B156,Table1[[Player]:[FP/G]],7,FALSE)</f>
        <v>1.95075009407528</v>
      </c>
      <c r="D156" s="14">
        <f>COUNT($C$6:C156)</f>
        <v>151</v>
      </c>
      <c r="E156" s="13">
        <f t="shared" si="2"/>
        <v>-2.4664084105834201</v>
      </c>
    </row>
    <row r="157" spans="2:5" x14ac:dyDescent="0.25">
      <c r="B157" s="1" t="str">
        <v>Jonny Brodzinski</v>
      </c>
      <c r="C157" s="13">
        <f>VLOOKUP(B157,Table1[[Player]:[FP/G]],7,FALSE)</f>
        <v>1.93437875260729</v>
      </c>
      <c r="D157" s="14">
        <f>COUNT($C$6:C157)</f>
        <v>152</v>
      </c>
      <c r="E157" s="13">
        <f t="shared" si="2"/>
        <v>-2.4827797520514103</v>
      </c>
    </row>
    <row r="158" spans="2:5" x14ac:dyDescent="0.25">
      <c r="B158" s="1" t="str">
        <v>Mark Kastelic</v>
      </c>
      <c r="C158" s="13">
        <f>VLOOKUP(B158,Table1[[Player]:[FP/G]],7,FALSE)</f>
        <v>1.9210485183436801</v>
      </c>
      <c r="D158" s="14">
        <f>COUNT($C$6:C158)</f>
        <v>153</v>
      </c>
      <c r="E158" s="13">
        <f t="shared" si="2"/>
        <v>-2.4961099863150205</v>
      </c>
    </row>
    <row r="159" spans="2:5" x14ac:dyDescent="0.25">
      <c r="B159" s="1" t="str">
        <v>Isac Lundestrom</v>
      </c>
      <c r="C159" s="13">
        <f>VLOOKUP(B159,Table1[[Player]:[FP/G]],7,FALSE)</f>
        <v>1.8026636554976201</v>
      </c>
      <c r="D159" s="14">
        <f>COUNT($C$6:C159)</f>
        <v>154</v>
      </c>
      <c r="E159" s="13">
        <f t="shared" si="2"/>
        <v>-2.6144948491610802</v>
      </c>
    </row>
    <row r="160" spans="2:5" x14ac:dyDescent="0.25">
      <c r="B160" s="1" t="str">
        <v>Ty Dellandrea</v>
      </c>
      <c r="C160" s="13">
        <f>VLOOKUP(B160,Table1[[Player]:[FP/G]],7,FALSE)</f>
        <v>1.8004141548539601</v>
      </c>
      <c r="D160" s="14">
        <f>COUNT($C$6:C160)</f>
        <v>155</v>
      </c>
      <c r="E160" s="13">
        <f t="shared" si="2"/>
        <v>-2.6167443498047405</v>
      </c>
    </row>
    <row r="161" spans="2:5" x14ac:dyDescent="0.25">
      <c r="B161" s="1" t="str">
        <v>Rasmus Kupari</v>
      </c>
      <c r="C161" s="13">
        <f>VLOOKUP(B161,Table1[[Player]:[FP/G]],7,FALSE)</f>
        <v>1.73426003419615</v>
      </c>
      <c r="D161" s="14">
        <f>COUNT($C$6:C161)</f>
        <v>156</v>
      </c>
      <c r="E161" s="13">
        <f t="shared" si="2"/>
        <v>-2.6828984704625505</v>
      </c>
    </row>
    <row r="162" spans="2:5" x14ac:dyDescent="0.25">
      <c r="B162" s="1" t="str">
        <v>Tomas Nosek</v>
      </c>
      <c r="C162" s="13">
        <f>VLOOKUP(B162,Table1[[Player]:[FP/G]],7,FALSE)</f>
        <v>1.6695871431629401</v>
      </c>
      <c r="D162" s="14">
        <f>COUNT($C$6:C162)</f>
        <v>157</v>
      </c>
      <c r="E162" s="13">
        <f t="shared" si="2"/>
        <v>-2.7475713614957602</v>
      </c>
    </row>
    <row r="163" spans="2:5" x14ac:dyDescent="0.25">
      <c r="B163" s="1" t="str">
        <v>Andreas Athanasiou</v>
      </c>
      <c r="C163" s="13">
        <f>VLOOKUP(B163,Table1[[Player]:[FP/G]],7,FALSE)</f>
        <v>1.6434489379577299</v>
      </c>
      <c r="D163" s="14">
        <f>COUNT($C$6:C163)</f>
        <v>158</v>
      </c>
      <c r="E163" s="13">
        <f t="shared" si="2"/>
        <v>-2.7737095667009704</v>
      </c>
    </row>
    <row r="164" spans="2:5" x14ac:dyDescent="0.25">
      <c r="B164" s="1" t="str">
        <v>Vinni Lettieri</v>
      </c>
      <c r="C164" s="13">
        <f>VLOOKUP(B164,Table1[[Player]:[FP/G]],7,FALSE)</f>
        <v>1.6120840395288301</v>
      </c>
      <c r="D164" s="14">
        <f>COUNT($C$6:C164)</f>
        <v>159</v>
      </c>
      <c r="E164" s="13">
        <f t="shared" si="2"/>
        <v>-2.80507446512987</v>
      </c>
    </row>
    <row r="165" spans="2:5" x14ac:dyDescent="0.25">
      <c r="B165" s="1" t="str">
        <v>Kevin Rooney</v>
      </c>
      <c r="C165" s="13">
        <f>VLOOKUP(B165,Table1[[Player]:[FP/G]],7,FALSE)</f>
        <v>1.60114596972937</v>
      </c>
      <c r="D165" s="14">
        <f>COUNT($C$6:C165)</f>
        <v>160</v>
      </c>
      <c r="E165" s="13">
        <f t="shared" si="2"/>
        <v>-2.8160125349293303</v>
      </c>
    </row>
    <row r="166" spans="2:5" x14ac:dyDescent="0.25">
      <c r="B166" s="1" t="str">
        <v>Tyson Jost</v>
      </c>
      <c r="C166" s="13">
        <f>VLOOKUP(B166,Table1[[Player]:[FP/G]],7,FALSE)</f>
        <v>1.5910223617647901</v>
      </c>
      <c r="D166" s="14">
        <f>COUNT($C$6:C166)</f>
        <v>161</v>
      </c>
      <c r="E166" s="13">
        <f t="shared" si="2"/>
        <v>-2.82613614289391</v>
      </c>
    </row>
    <row r="167" spans="2:5" x14ac:dyDescent="0.25">
      <c r="B167" s="1" t="str">
        <v>Luke Glendening</v>
      </c>
      <c r="C167" s="13">
        <f>VLOOKUP(B167,Table1[[Player]:[FP/G]],7,FALSE)</f>
        <v>1.5819062283983301</v>
      </c>
      <c r="D167" s="14">
        <f>COUNT($C$6:C167)</f>
        <v>162</v>
      </c>
      <c r="E167" s="13">
        <f t="shared" si="2"/>
        <v>-2.8352522762603702</v>
      </c>
    </row>
    <row r="168" spans="2:5" x14ac:dyDescent="0.25">
      <c r="B168" s="1" t="str">
        <v>Trevor Lewis</v>
      </c>
      <c r="C168" s="13">
        <f>VLOOKUP(B168,Table1[[Player]:[FP/G]],7,FALSE)</f>
        <v>1.5795558485542101</v>
      </c>
      <c r="D168" s="14">
        <f>COUNT($C$6:C168)</f>
        <v>163</v>
      </c>
      <c r="E168" s="13">
        <f t="shared" si="2"/>
        <v>-2.8376026561044903</v>
      </c>
    </row>
    <row r="169" spans="2:5" x14ac:dyDescent="0.25">
      <c r="B169" s="1" t="str">
        <v>Patrick Brown</v>
      </c>
      <c r="C169" s="13">
        <f>VLOOKUP(B169,Table1[[Player]:[FP/G]],7,FALSE)</f>
        <v>1.54821593074125</v>
      </c>
      <c r="D169" s="14">
        <f>COUNT($C$6:C169)</f>
        <v>164</v>
      </c>
      <c r="E169" s="13">
        <f t="shared" si="2"/>
        <v>-2.8689425739174501</v>
      </c>
    </row>
    <row r="170" spans="2:5" x14ac:dyDescent="0.25">
      <c r="B170" s="1" t="str">
        <v>Steven Lorentz</v>
      </c>
      <c r="C170" s="13">
        <f>VLOOKUP(B170,Table1[[Player]:[FP/G]],7,FALSE)</f>
        <v>1.4943841119185599</v>
      </c>
      <c r="D170" s="14">
        <f>COUNT($C$6:C170)</f>
        <v>165</v>
      </c>
      <c r="E170" s="13">
        <f t="shared" si="2"/>
        <v>-2.9227743927401404</v>
      </c>
    </row>
    <row r="171" spans="2:5" x14ac:dyDescent="0.25">
      <c r="B171" s="1" t="str">
        <v>Jansen Harkins</v>
      </c>
      <c r="C171" s="13">
        <f>VLOOKUP(B171,Table1[[Player]:[FP/G]],7,FALSE)</f>
        <v>1.4864221735269201</v>
      </c>
      <c r="D171" s="14">
        <f>COUNT($C$6:C171)</f>
        <v>166</v>
      </c>
      <c r="E171" s="13">
        <f t="shared" si="2"/>
        <v>-2.9307363311317802</v>
      </c>
    </row>
    <row r="172" spans="2:5" x14ac:dyDescent="0.25">
      <c r="B172" s="1" t="str">
        <v>Travis Boyd</v>
      </c>
      <c r="C172" s="13">
        <f>VLOOKUP(B172,Table1[[Player]:[FP/G]],7,FALSE)</f>
        <v>1.47349136162418</v>
      </c>
      <c r="D172" s="14">
        <f>COUNT($C$6:C172)</f>
        <v>167</v>
      </c>
      <c r="E172" s="13">
        <f t="shared" si="2"/>
        <v>-2.9436671430345203</v>
      </c>
    </row>
    <row r="173" spans="2:5" x14ac:dyDescent="0.25">
      <c r="B173" s="1" t="str">
        <v>Mikael Pyyhtia</v>
      </c>
      <c r="C173" s="13">
        <f>VLOOKUP(B173,Table1[[Player]:[FP/G]],7,FALSE)</f>
        <v>1.4687227466008399</v>
      </c>
      <c r="D173" s="14">
        <f>COUNT($C$6:C173)</f>
        <v>168</v>
      </c>
      <c r="E173" s="13">
        <f t="shared" si="2"/>
        <v>-2.9484357580578604</v>
      </c>
    </row>
    <row r="174" spans="2:5" x14ac:dyDescent="0.25">
      <c r="B174" s="1" t="str">
        <v>David Gustafsson</v>
      </c>
      <c r="C174" s="13">
        <f>VLOOKUP(B174,Table1[[Player]:[FP/G]],7,FALSE)</f>
        <v>1.41815260838782</v>
      </c>
      <c r="D174" s="14">
        <f>COUNT($C$6:C174)</f>
        <v>169</v>
      </c>
      <c r="E174" s="13">
        <f t="shared" si="2"/>
        <v>-2.9990058962708801</v>
      </c>
    </row>
    <row r="175" spans="2:5" x14ac:dyDescent="0.25">
      <c r="B175" s="1" t="str">
        <v>Reese Johnson</v>
      </c>
      <c r="C175" s="13">
        <f>VLOOKUP(B175,Table1[[Player]:[FP/G]],7,FALSE)</f>
        <v>1.3490135595163799</v>
      </c>
      <c r="D175" s="14">
        <f>COUNT($C$6:C175)</f>
        <v>170</v>
      </c>
      <c r="E175" s="13">
        <f t="shared" si="2"/>
        <v>-3.0681449451423202</v>
      </c>
    </row>
    <row r="176" spans="2:5" x14ac:dyDescent="0.25">
      <c r="B176" s="1" t="str">
        <v>Justin Kirkland</v>
      </c>
      <c r="C176" s="13">
        <f>VLOOKUP(B176,Table1[[Player]:[FP/G]],7,FALSE)</f>
        <v>1.20943738775999</v>
      </c>
      <c r="D176" s="14">
        <f>COUNT($C$6:C176)</f>
        <v>171</v>
      </c>
      <c r="E176" s="13">
        <f t="shared" si="2"/>
        <v>-3.2077211168987105</v>
      </c>
    </row>
    <row r="177" spans="2:5" x14ac:dyDescent="0.25">
      <c r="B177" s="1" t="str">
        <v>Shane Bowers</v>
      </c>
      <c r="C177" s="13">
        <f>VLOOKUP(B177,Table1[[Player]:[FP/G]],7,FALSE)</f>
        <v>1.1807271372894601</v>
      </c>
      <c r="D177" s="14">
        <f>COUNT($C$6:C177)</f>
        <v>172</v>
      </c>
      <c r="E177" s="13">
        <f t="shared" si="2"/>
        <v>-3.2364313673692404</v>
      </c>
    </row>
    <row r="178" spans="2:5" x14ac:dyDescent="0.25">
      <c r="B178" s="1" t="str">
        <v>Anthony Richard</v>
      </c>
      <c r="C178" s="13">
        <f>VLOOKUP(B178,Table1[[Player]:[FP/G]],7,FALSE)</f>
        <v>1.17049302325517</v>
      </c>
      <c r="D178" s="14">
        <f>COUNT($C$6:C178)</f>
        <v>173</v>
      </c>
      <c r="E178" s="13">
        <f t="shared" si="2"/>
        <v>-3.2466654814035305</v>
      </c>
    </row>
    <row r="179" spans="2:5" x14ac:dyDescent="0.25">
      <c r="B179" s="1" t="str">
        <v>Nils Aman</v>
      </c>
      <c r="C179" s="13">
        <f>VLOOKUP(B179,Table1[[Player]:[FP/G]],7,FALSE)</f>
        <v>1.15326072353121</v>
      </c>
      <c r="D179" s="14">
        <f>COUNT($C$6:C179)</f>
        <v>174</v>
      </c>
      <c r="E179" s="13">
        <f t="shared" si="2"/>
        <v>-3.2638977811274903</v>
      </c>
    </row>
    <row r="180" spans="2:5" x14ac:dyDescent="0.25">
      <c r="B180" s="1" t="str">
        <v>Nikita Nesterenko</v>
      </c>
      <c r="C180" s="13">
        <f>VLOOKUP(B180,Table1[[Player]:[FP/G]],7,FALSE)</f>
        <v>1.0444321976684701</v>
      </c>
      <c r="D180" s="14">
        <f>COUNT($C$6:C180)</f>
        <v>175</v>
      </c>
      <c r="E180" s="13">
        <f t="shared" si="2"/>
        <v>-3.3727263069902302</v>
      </c>
    </row>
    <row r="181" spans="2:5" x14ac:dyDescent="0.25">
      <c r="B181" s="1" t="str">
        <v>Marc McLaughlin</v>
      </c>
      <c r="C181" s="13">
        <f>VLOOKUP(B181,Table1[[Player]:[FP/G]],7,FALSE)</f>
        <v>1.0187789819765101</v>
      </c>
      <c r="D181" s="14">
        <f>COUNT($C$6:C181)</f>
        <v>176</v>
      </c>
      <c r="E181" s="13">
        <f t="shared" si="2"/>
        <v>-3.3983795226821902</v>
      </c>
    </row>
    <row r="182" spans="2:5" x14ac:dyDescent="0.25">
      <c r="B182" s="1" t="str">
        <v>Dominic Toninato</v>
      </c>
      <c r="C182" s="13">
        <f>VLOOKUP(B182,Table1[[Player]:[FP/G]],7,FALSE)</f>
        <v>0.94601541740131001</v>
      </c>
      <c r="D182" s="14">
        <f>COUNT($C$6:C182)</f>
        <v>177</v>
      </c>
      <c r="E182" s="13">
        <f t="shared" si="2"/>
        <v>-3.4711430872573903</v>
      </c>
    </row>
    <row r="183" spans="2:5" x14ac:dyDescent="0.25">
      <c r="B183" s="1" t="str">
        <v>John Hayden</v>
      </c>
      <c r="C183" s="13">
        <f>VLOOKUP(B183,Table1[[Player]:[FP/G]],7,FALSE)</f>
        <v>0.91059893916734902</v>
      </c>
      <c r="D183" s="14">
        <f>COUNT($C$6:C183)</f>
        <v>178</v>
      </c>
      <c r="E183" s="13">
        <f t="shared" si="2"/>
        <v>-3.5065595654913513</v>
      </c>
    </row>
    <row r="184" spans="2:5" x14ac:dyDescent="0.25">
      <c r="B184" s="1" t="str">
        <v>Brendan Gaunce</v>
      </c>
      <c r="C184" s="13">
        <f>VLOOKUP(B184,Table1[[Player]:[FP/G]],7,FALSE)</f>
        <v>0.87499451712442999</v>
      </c>
      <c r="D184" s="14">
        <f>COUNT($C$6:C184)</f>
        <v>179</v>
      </c>
      <c r="E184" s="13">
        <f t="shared" si="2"/>
        <v>-3.5421639875342703</v>
      </c>
    </row>
    <row r="185" spans="2:5" x14ac:dyDescent="0.25">
      <c r="B185" s="1" t="str">
        <v>Devin Shore</v>
      </c>
      <c r="C185" s="13">
        <f>VLOOKUP(B185,Table1[[Player]:[FP/G]],7,FALSE)</f>
        <v>0.86393912978727605</v>
      </c>
      <c r="D185" s="14">
        <f>COUNT($C$6:C185)</f>
        <v>180</v>
      </c>
      <c r="E185" s="13">
        <f t="shared" si="2"/>
        <v>-3.553219374871424</v>
      </c>
    </row>
    <row r="186" spans="2:5" x14ac:dyDescent="0.25">
      <c r="B186" s="1" t="str">
        <v>Lucas Condotta</v>
      </c>
      <c r="C186" s="13">
        <f>VLOOKUP(B186,Table1[[Player]:[FP/G]],7,FALSE)</f>
        <v>0.86044070770108105</v>
      </c>
      <c r="D186" s="14">
        <f>COUNT($C$6:C186)</f>
        <v>181</v>
      </c>
      <c r="E186" s="13">
        <f t="shared" si="2"/>
        <v>-3.5567177969576194</v>
      </c>
    </row>
    <row r="187" spans="2:5" x14ac:dyDescent="0.25">
      <c r="B187" s="1" t="str">
        <v>Joona Koppanen</v>
      </c>
      <c r="C187" s="13">
        <f>VLOOKUP(B187,Table1[[Player]:[FP/G]],7,FALSE)</f>
        <v>0.82911252254547496</v>
      </c>
      <c r="D187" s="14">
        <f>COUNT($C$6:C187)</f>
        <v>182</v>
      </c>
      <c r="E187" s="13">
        <f t="shared" si="2"/>
        <v>-3.5880459821132256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5F33-A3F0-479B-A316-EF3D2AE07129}">
  <dimension ref="B2:E218"/>
  <sheetViews>
    <sheetView topLeftCell="A181" workbookViewId="0">
      <selection activeCell="B218" sqref="B218"/>
    </sheetView>
  </sheetViews>
  <sheetFormatPr defaultRowHeight="15" x14ac:dyDescent="0.25"/>
  <cols>
    <col min="1" max="1" width="4.5703125" style="1" customWidth="1"/>
    <col min="2" max="2" width="21.5703125" style="1" bestFit="1" customWidth="1"/>
    <col min="3" max="16384" width="9.140625" style="1"/>
  </cols>
  <sheetData>
    <row r="2" spans="2:5" x14ac:dyDescent="0.25">
      <c r="B2" s="1" t="s">
        <v>1650</v>
      </c>
      <c r="C2" s="2">
        <f>14*4</f>
        <v>56</v>
      </c>
      <c r="D2" s="12"/>
    </row>
    <row r="3" spans="2:5" x14ac:dyDescent="0.25">
      <c r="B3" s="1" t="s">
        <v>1651</v>
      </c>
      <c r="C3" s="2" t="s">
        <v>464</v>
      </c>
      <c r="D3" s="12"/>
    </row>
    <row r="5" spans="2:5" x14ac:dyDescent="0.25">
      <c r="B5" s="1" t="s">
        <v>1647</v>
      </c>
      <c r="C5" s="12" t="s">
        <v>6</v>
      </c>
      <c r="D5" s="12" t="s">
        <v>1648</v>
      </c>
      <c r="E5" s="12" t="s">
        <v>1649</v>
      </c>
    </row>
    <row r="6" spans="2:5" x14ac:dyDescent="0.25">
      <c r="B6" s="1" t="str" cm="1">
        <f t="array" ref="B6:B218">_xlfn._xlws.FILTER(Table1[Player], ISNUMBER(SEARCH("LW", Table1[Position])))</f>
        <v>Jack Hughes</v>
      </c>
      <c r="C6" s="13">
        <f>VLOOKUP(B6,Table1[[Player]:[FP/G]],7,FALSE)</f>
        <v>7.9790868639825101</v>
      </c>
      <c r="D6" s="14">
        <f>COUNT($C$6:C6)</f>
        <v>1</v>
      </c>
      <c r="E6" s="13">
        <f>C6-VLOOKUP($C$3,$B$6:$D$187,2,FALSE)</f>
        <v>3.3453810906362103</v>
      </c>
    </row>
    <row r="7" spans="2:5" x14ac:dyDescent="0.25">
      <c r="B7" s="1" t="str">
        <v>Leon Draisaitl</v>
      </c>
      <c r="C7" s="13">
        <f>VLOOKUP(B7,Table1[[Player]:[FP/G]],7,FALSE)</f>
        <v>7.6407302873729899</v>
      </c>
      <c r="D7" s="14">
        <f>COUNT($C$6:C7)</f>
        <v>2</v>
      </c>
      <c r="E7" s="13">
        <f t="shared" ref="E7:E70" si="0">C7-VLOOKUP($C$3,$B$6:$D$187,2,FALSE)</f>
        <v>3.00702451402669</v>
      </c>
    </row>
    <row r="8" spans="2:5" x14ac:dyDescent="0.25">
      <c r="B8" s="1" t="str">
        <v>Jason Robertson</v>
      </c>
      <c r="C8" s="13">
        <f>VLOOKUP(B8,Table1[[Player]:[FP/G]],7,FALSE)</f>
        <v>7.5766416953657103</v>
      </c>
      <c r="D8" s="14">
        <f>COUNT($C$6:C8)</f>
        <v>3</v>
      </c>
      <c r="E8" s="13">
        <f t="shared" si="0"/>
        <v>2.9429359220194105</v>
      </c>
    </row>
    <row r="9" spans="2:5" x14ac:dyDescent="0.25">
      <c r="B9" s="1" t="str">
        <v>Filip Forsberg</v>
      </c>
      <c r="C9" s="13">
        <f>VLOOKUP(B9,Table1[[Player]:[FP/G]],7,FALSE)</f>
        <v>7.4180199821277499</v>
      </c>
      <c r="D9" s="14">
        <f>COUNT($C$6:C9)</f>
        <v>4</v>
      </c>
      <c r="E9" s="13">
        <f t="shared" si="0"/>
        <v>2.7843142087814501</v>
      </c>
    </row>
    <row r="10" spans="2:5" x14ac:dyDescent="0.25">
      <c r="B10" s="1" t="str">
        <v>Alex Ovechkin</v>
      </c>
      <c r="C10" s="13">
        <f>VLOOKUP(B10,Table1[[Player]:[FP/G]],7,FALSE)</f>
        <v>7.3698840950047</v>
      </c>
      <c r="D10" s="14">
        <f>COUNT($C$6:C10)</f>
        <v>5</v>
      </c>
      <c r="E10" s="13">
        <f t="shared" si="0"/>
        <v>2.7361783216584001</v>
      </c>
    </row>
    <row r="11" spans="2:5" x14ac:dyDescent="0.25">
      <c r="B11" s="1" t="str">
        <v>Matt Boldy</v>
      </c>
      <c r="C11" s="13">
        <f>VLOOKUP(B11,Table1[[Player]:[FP/G]],7,FALSE)</f>
        <v>7.3413025016504001</v>
      </c>
      <c r="D11" s="14">
        <f>COUNT($C$6:C11)</f>
        <v>6</v>
      </c>
      <c r="E11" s="13">
        <f t="shared" si="0"/>
        <v>2.7075967283041003</v>
      </c>
    </row>
    <row r="12" spans="2:5" x14ac:dyDescent="0.25">
      <c r="B12" s="1" t="str">
        <v>Kyle Connor</v>
      </c>
      <c r="C12" s="13">
        <f>VLOOKUP(B12,Table1[[Player]:[FP/G]],7,FALSE)</f>
        <v>7.3295262422581704</v>
      </c>
      <c r="D12" s="14">
        <f>COUNT($C$6:C12)</f>
        <v>7</v>
      </c>
      <c r="E12" s="13">
        <f t="shared" si="0"/>
        <v>2.6958204689118705</v>
      </c>
    </row>
    <row r="13" spans="2:5" x14ac:dyDescent="0.25">
      <c r="B13" s="1" t="str">
        <v>Brady Tkachuk</v>
      </c>
      <c r="C13" s="13">
        <f>VLOOKUP(B13,Table1[[Player]:[FP/G]],7,FALSE)</f>
        <v>7.2044768986941596</v>
      </c>
      <c r="D13" s="14">
        <f>COUNT($C$6:C13)</f>
        <v>8</v>
      </c>
      <c r="E13" s="13">
        <f t="shared" si="0"/>
        <v>2.5707711253478598</v>
      </c>
    </row>
    <row r="14" spans="2:5" x14ac:dyDescent="0.25">
      <c r="B14" s="1" t="str">
        <v>Nikolaj Ehlers</v>
      </c>
      <c r="C14" s="13">
        <f>VLOOKUP(B14,Table1[[Player]:[FP/G]],7,FALSE)</f>
        <v>6.8403975131374004</v>
      </c>
      <c r="D14" s="14">
        <f>COUNT($C$6:C14)</f>
        <v>9</v>
      </c>
      <c r="E14" s="13">
        <f t="shared" si="0"/>
        <v>2.2066917397911006</v>
      </c>
    </row>
    <row r="15" spans="2:5" x14ac:dyDescent="0.25">
      <c r="B15" s="1" t="str">
        <v>Artemi Panarin</v>
      </c>
      <c r="C15" s="13">
        <f>VLOOKUP(B15,Table1[[Player]:[FP/G]],7,FALSE)</f>
        <v>6.7945151678612099</v>
      </c>
      <c r="D15" s="14">
        <f>COUNT($C$6:C15)</f>
        <v>10</v>
      </c>
      <c r="E15" s="13">
        <f t="shared" si="0"/>
        <v>2.1608093945149101</v>
      </c>
    </row>
    <row r="16" spans="2:5" x14ac:dyDescent="0.25">
      <c r="B16" s="1" t="str">
        <v>Clayton Keller</v>
      </c>
      <c r="C16" s="13">
        <f>VLOOKUP(B16,Table1[[Player]:[FP/G]],7,FALSE)</f>
        <v>6.78707831580979</v>
      </c>
      <c r="D16" s="14">
        <f>COUNT($C$6:C16)</f>
        <v>11</v>
      </c>
      <c r="E16" s="13">
        <f t="shared" si="0"/>
        <v>2.1533725424634902</v>
      </c>
    </row>
    <row r="17" spans="2:5" x14ac:dyDescent="0.25">
      <c r="B17" s="1" t="str">
        <v>Cole Caufield</v>
      </c>
      <c r="C17" s="13">
        <f>VLOOKUP(B17,Table1[[Player]:[FP/G]],7,FALSE)</f>
        <v>6.7377074531941599</v>
      </c>
      <c r="D17" s="14">
        <f>COUNT($C$6:C17)</f>
        <v>12</v>
      </c>
      <c r="E17" s="13">
        <f t="shared" si="0"/>
        <v>2.10400167984786</v>
      </c>
    </row>
    <row r="18" spans="2:5" x14ac:dyDescent="0.25">
      <c r="B18" s="1" t="str">
        <v>Jake Guentzel</v>
      </c>
      <c r="C18" s="13">
        <f>VLOOKUP(B18,Table1[[Player]:[FP/G]],7,FALSE)</f>
        <v>6.7335966120432396</v>
      </c>
      <c r="D18" s="14">
        <f>COUNT($C$6:C18)</f>
        <v>13</v>
      </c>
      <c r="E18" s="13">
        <f t="shared" si="0"/>
        <v>2.0998908386969397</v>
      </c>
    </row>
    <row r="19" spans="2:5" x14ac:dyDescent="0.25">
      <c r="B19" s="1" t="str">
        <v>Kevin Fiala</v>
      </c>
      <c r="C19" s="13">
        <f>VLOOKUP(B19,Table1[[Player]:[FP/G]],7,FALSE)</f>
        <v>6.6843268133705402</v>
      </c>
      <c r="D19" s="14">
        <f>COUNT($C$6:C19)</f>
        <v>14</v>
      </c>
      <c r="E19" s="13">
        <f t="shared" si="0"/>
        <v>2.0506210400242404</v>
      </c>
    </row>
    <row r="20" spans="2:5" x14ac:dyDescent="0.25">
      <c r="B20" s="1" t="str">
        <v>Alex DeBrincat</v>
      </c>
      <c r="C20" s="13">
        <f>VLOOKUP(B20,Table1[[Player]:[FP/G]],7,FALSE)</f>
        <v>6.5928299502598398</v>
      </c>
      <c r="D20" s="14">
        <f>COUNT($C$6:C20)</f>
        <v>15</v>
      </c>
      <c r="E20" s="13">
        <f t="shared" si="0"/>
        <v>1.9591241769135399</v>
      </c>
    </row>
    <row r="21" spans="2:5" x14ac:dyDescent="0.25">
      <c r="B21" s="1" t="str">
        <v>Jared McCann</v>
      </c>
      <c r="C21" s="13">
        <f>VLOOKUP(B21,Table1[[Player]:[FP/G]],7,FALSE)</f>
        <v>6.5715914296674098</v>
      </c>
      <c r="D21" s="14">
        <f>COUNT($C$6:C21)</f>
        <v>16</v>
      </c>
      <c r="E21" s="13">
        <f t="shared" si="0"/>
        <v>1.93788565632111</v>
      </c>
    </row>
    <row r="22" spans="2:5" x14ac:dyDescent="0.25">
      <c r="B22" s="1" t="str">
        <v>Tomas Hertl</v>
      </c>
      <c r="C22" s="13">
        <f>VLOOKUP(B22,Table1[[Player]:[FP/G]],7,FALSE)</f>
        <v>6.4058271699291396</v>
      </c>
      <c r="D22" s="14">
        <f>COUNT($C$6:C22)</f>
        <v>17</v>
      </c>
      <c r="E22" s="13">
        <f t="shared" si="0"/>
        <v>1.7721213965828397</v>
      </c>
    </row>
    <row r="23" spans="2:5" x14ac:dyDescent="0.25">
      <c r="B23" s="1" t="str">
        <v>Brandon Hagel</v>
      </c>
      <c r="C23" s="13">
        <f>VLOOKUP(B23,Table1[[Player]:[FP/G]],7,FALSE)</f>
        <v>6.36840713997855</v>
      </c>
      <c r="D23" s="14">
        <f>COUNT($C$6:C23)</f>
        <v>18</v>
      </c>
      <c r="E23" s="13">
        <f t="shared" si="0"/>
        <v>1.7347013666322502</v>
      </c>
    </row>
    <row r="24" spans="2:5" x14ac:dyDescent="0.25">
      <c r="B24" s="1" t="str">
        <v>Kirill Kaprizov</v>
      </c>
      <c r="C24" s="13">
        <f>VLOOKUP(B24,Table1[[Player]:[FP/G]],7,FALSE)</f>
        <v>6.28892452365114</v>
      </c>
      <c r="D24" s="14">
        <f>COUNT($C$6:C24)</f>
        <v>19</v>
      </c>
      <c r="E24" s="13">
        <f t="shared" si="0"/>
        <v>1.6552187503048401</v>
      </c>
    </row>
    <row r="25" spans="2:5" x14ac:dyDescent="0.25">
      <c r="B25" s="1" t="str">
        <v>Timo Meier</v>
      </c>
      <c r="C25" s="13">
        <f>VLOOKUP(B25,Table1[[Player]:[FP/G]],7,FALSE)</f>
        <v>6.0270562398028602</v>
      </c>
      <c r="D25" s="14">
        <f>COUNT($C$6:C25)</f>
        <v>20</v>
      </c>
      <c r="E25" s="13">
        <f t="shared" si="0"/>
        <v>1.3933504664565604</v>
      </c>
    </row>
    <row r="26" spans="2:5" x14ac:dyDescent="0.25">
      <c r="B26" s="1" t="str">
        <v>Carter Verhaeghe</v>
      </c>
      <c r="C26" s="13">
        <f>VLOOKUP(B26,Table1[[Player]:[FP/G]],7,FALSE)</f>
        <v>5.8854361237650004</v>
      </c>
      <c r="D26" s="14">
        <f>COUNT($C$6:C26)</f>
        <v>21</v>
      </c>
      <c r="E26" s="13">
        <f t="shared" si="0"/>
        <v>1.2517303504187005</v>
      </c>
    </row>
    <row r="27" spans="2:5" x14ac:dyDescent="0.25">
      <c r="B27" s="1" t="str">
        <v>JJ Peterka</v>
      </c>
      <c r="C27" s="13">
        <f>VLOOKUP(B27,Table1[[Player]:[FP/G]],7,FALSE)</f>
        <v>5.7454668286277801</v>
      </c>
      <c r="D27" s="14">
        <f>COUNT($C$6:C27)</f>
        <v>22</v>
      </c>
      <c r="E27" s="13">
        <f t="shared" si="0"/>
        <v>1.1117610552814803</v>
      </c>
    </row>
    <row r="28" spans="2:5" x14ac:dyDescent="0.25">
      <c r="B28" s="1" t="str">
        <v>Trevor Moore</v>
      </c>
      <c r="C28" s="13">
        <f>VLOOKUP(B28,Table1[[Player]:[FP/G]],7,FALSE)</f>
        <v>5.5911284849002003</v>
      </c>
      <c r="D28" s="14">
        <f>COUNT($C$6:C28)</f>
        <v>23</v>
      </c>
      <c r="E28" s="13">
        <f t="shared" si="0"/>
        <v>0.95742271155390046</v>
      </c>
    </row>
    <row r="29" spans="2:5" x14ac:dyDescent="0.25">
      <c r="B29" s="1" t="str">
        <v>Artturi Lehkonen</v>
      </c>
      <c r="C29" s="13">
        <f>VLOOKUP(B29,Table1[[Player]:[FP/G]],7,FALSE)</f>
        <v>5.55617925748854</v>
      </c>
      <c r="D29" s="14">
        <f>COUNT($C$6:C29)</f>
        <v>24</v>
      </c>
      <c r="E29" s="13">
        <f t="shared" si="0"/>
        <v>0.92247348414224017</v>
      </c>
    </row>
    <row r="30" spans="2:5" x14ac:dyDescent="0.25">
      <c r="B30" s="1" t="str">
        <v>Andrei Svechnikov</v>
      </c>
      <c r="C30" s="13">
        <f>VLOOKUP(B30,Table1[[Player]:[FP/G]],7,FALSE)</f>
        <v>5.55234512019371</v>
      </c>
      <c r="D30" s="14">
        <f>COUNT($C$6:C30)</f>
        <v>25</v>
      </c>
      <c r="E30" s="13">
        <f t="shared" si="0"/>
        <v>0.91863934684741011</v>
      </c>
    </row>
    <row r="31" spans="2:5" x14ac:dyDescent="0.25">
      <c r="B31" s="1" t="str">
        <v>Valeri Nichushkin</v>
      </c>
      <c r="C31" s="13">
        <f>VLOOKUP(B31,Table1[[Player]:[FP/G]],7,FALSE)</f>
        <v>5.5427266153199497</v>
      </c>
      <c r="D31" s="14">
        <f>COUNT($C$6:C31)</f>
        <v>26</v>
      </c>
      <c r="E31" s="13">
        <f t="shared" si="0"/>
        <v>0.90902084197364985</v>
      </c>
    </row>
    <row r="32" spans="2:5" x14ac:dyDescent="0.25">
      <c r="B32" s="1" t="str">
        <v>Patrik Laine</v>
      </c>
      <c r="C32" s="13">
        <f>VLOOKUP(B32,Table1[[Player]:[FP/G]],7,FALSE)</f>
        <v>5.4616584082162696</v>
      </c>
      <c r="D32" s="14">
        <f>COUNT($C$6:C32)</f>
        <v>27</v>
      </c>
      <c r="E32" s="13">
        <f t="shared" si="0"/>
        <v>0.82795263486996973</v>
      </c>
    </row>
    <row r="33" spans="2:5" x14ac:dyDescent="0.25">
      <c r="B33" s="1" t="str">
        <v>Quinton Byfield</v>
      </c>
      <c r="C33" s="13">
        <f>VLOOKUP(B33,Table1[[Player]:[FP/G]],7,FALSE)</f>
        <v>5.4423788462091096</v>
      </c>
      <c r="D33" s="14">
        <f>COUNT($C$6:C33)</f>
        <v>28</v>
      </c>
      <c r="E33" s="13">
        <f t="shared" si="0"/>
        <v>0.80867307286280976</v>
      </c>
    </row>
    <row r="34" spans="2:5" x14ac:dyDescent="0.25">
      <c r="B34" s="1" t="str">
        <v>Jonathan Huberdeau</v>
      </c>
      <c r="C34" s="13">
        <f>VLOOKUP(B34,Table1[[Player]:[FP/G]],7,FALSE)</f>
        <v>5.4400667324989502</v>
      </c>
      <c r="D34" s="14">
        <f>COUNT($C$6:C34)</f>
        <v>29</v>
      </c>
      <c r="E34" s="13">
        <f t="shared" si="0"/>
        <v>0.80636095915265038</v>
      </c>
    </row>
    <row r="35" spans="2:5" x14ac:dyDescent="0.25">
      <c r="B35" s="1" t="str">
        <v>Viktor Arvidsson</v>
      </c>
      <c r="C35" s="13">
        <f>VLOOKUP(B35,Table1[[Player]:[FP/G]],7,FALSE)</f>
        <v>5.3088739740002602</v>
      </c>
      <c r="D35" s="14">
        <f>COUNT($C$6:C35)</f>
        <v>30</v>
      </c>
      <c r="E35" s="13">
        <f t="shared" si="0"/>
        <v>0.67516820065396033</v>
      </c>
    </row>
    <row r="36" spans="2:5" x14ac:dyDescent="0.25">
      <c r="B36" s="1" t="str">
        <v>Frank Vatrano</v>
      </c>
      <c r="C36" s="13">
        <f>VLOOKUP(B36,Table1[[Player]:[FP/G]],7,FALSE)</f>
        <v>5.3081843867451397</v>
      </c>
      <c r="D36" s="14">
        <f>COUNT($C$6:C36)</f>
        <v>31</v>
      </c>
      <c r="E36" s="13">
        <f t="shared" si="0"/>
        <v>0.67447861339883985</v>
      </c>
    </row>
    <row r="37" spans="2:5" x14ac:dyDescent="0.25">
      <c r="B37" s="1" t="str">
        <v>Matthew Knies</v>
      </c>
      <c r="C37" s="13">
        <f>VLOOKUP(B37,Table1[[Player]:[FP/G]],7,FALSE)</f>
        <v>5.26884235358213</v>
      </c>
      <c r="D37" s="14">
        <f>COUNT($C$6:C37)</f>
        <v>32</v>
      </c>
      <c r="E37" s="13">
        <f t="shared" si="0"/>
        <v>0.63513658023583019</v>
      </c>
    </row>
    <row r="38" spans="2:5" x14ac:dyDescent="0.25">
      <c r="B38" s="1" t="str">
        <v>Rickard Rakell</v>
      </c>
      <c r="C38" s="13">
        <f>VLOOKUP(B38,Table1[[Player]:[FP/G]],7,FALSE)</f>
        <v>5.2269956498752501</v>
      </c>
      <c r="D38" s="14">
        <f>COUNT($C$6:C38)</f>
        <v>33</v>
      </c>
      <c r="E38" s="13">
        <f t="shared" si="0"/>
        <v>0.59328987652895027</v>
      </c>
    </row>
    <row r="39" spans="2:5" x14ac:dyDescent="0.25">
      <c r="B39" s="1" t="str">
        <v>Blake Coleman</v>
      </c>
      <c r="C39" s="13">
        <f>VLOOKUP(B39,Table1[[Player]:[FP/G]],7,FALSE)</f>
        <v>5.1920292659698504</v>
      </c>
      <c r="D39" s="14">
        <f>COUNT($C$6:C39)</f>
        <v>34</v>
      </c>
      <c r="E39" s="13">
        <f t="shared" si="0"/>
        <v>0.55832349262355052</v>
      </c>
    </row>
    <row r="40" spans="2:5" x14ac:dyDescent="0.25">
      <c r="B40" s="1" t="str">
        <v>Brad Marchand</v>
      </c>
      <c r="C40" s="13">
        <f>VLOOKUP(B40,Table1[[Player]:[FP/G]],7,FALSE)</f>
        <v>5.1514639692791597</v>
      </c>
      <c r="D40" s="14">
        <f>COUNT($C$6:C40)</f>
        <v>35</v>
      </c>
      <c r="E40" s="13">
        <f t="shared" si="0"/>
        <v>0.51775819593285988</v>
      </c>
    </row>
    <row r="41" spans="2:5" x14ac:dyDescent="0.25">
      <c r="B41" s="1" t="str">
        <v>Pavel Buchnevich</v>
      </c>
      <c r="C41" s="13">
        <f>VLOOKUP(B41,Table1[[Player]:[FP/G]],7,FALSE)</f>
        <v>5.1450555619980802</v>
      </c>
      <c r="D41" s="14">
        <f>COUNT($C$6:C41)</f>
        <v>36</v>
      </c>
      <c r="E41" s="13">
        <f t="shared" si="0"/>
        <v>0.51134978865178038</v>
      </c>
    </row>
    <row r="42" spans="2:5" x14ac:dyDescent="0.25">
      <c r="B42" s="1" t="str">
        <v>Jamie Benn</v>
      </c>
      <c r="C42" s="13">
        <f>VLOOKUP(B42,Table1[[Player]:[FP/G]],7,FALSE)</f>
        <v>5.1410634704116003</v>
      </c>
      <c r="D42" s="14">
        <f>COUNT($C$6:C42)</f>
        <v>37</v>
      </c>
      <c r="E42" s="13">
        <f t="shared" si="0"/>
        <v>0.50735769706530043</v>
      </c>
    </row>
    <row r="43" spans="2:5" x14ac:dyDescent="0.25">
      <c r="B43" s="1" t="str">
        <v>Owen Tippett</v>
      </c>
      <c r="C43" s="13">
        <f>VLOOKUP(B43,Table1[[Player]:[FP/G]],7,FALSE)</f>
        <v>5.1384326002400798</v>
      </c>
      <c r="D43" s="14">
        <f>COUNT($C$6:C43)</f>
        <v>38</v>
      </c>
      <c r="E43" s="13">
        <f t="shared" si="0"/>
        <v>0.5047268268937799</v>
      </c>
    </row>
    <row r="44" spans="2:5" x14ac:dyDescent="0.25">
      <c r="B44" s="1" t="str">
        <v>Chris Kreider</v>
      </c>
      <c r="C44" s="13">
        <f>VLOOKUP(B44,Table1[[Player]:[FP/G]],7,FALSE)</f>
        <v>5.0842665968358602</v>
      </c>
      <c r="D44" s="14">
        <f>COUNT($C$6:C44)</f>
        <v>39</v>
      </c>
      <c r="E44" s="13">
        <f t="shared" si="0"/>
        <v>0.45056082348956039</v>
      </c>
    </row>
    <row r="45" spans="2:5" x14ac:dyDescent="0.25">
      <c r="B45" s="1" t="str">
        <v>Jake DeBrusk</v>
      </c>
      <c r="C45" s="13">
        <f>VLOOKUP(B45,Table1[[Player]:[FP/G]],7,FALSE)</f>
        <v>5.0810986104501996</v>
      </c>
      <c r="D45" s="14">
        <f>COUNT($C$6:C45)</f>
        <v>40</v>
      </c>
      <c r="E45" s="13">
        <f t="shared" si="0"/>
        <v>0.44739283710389977</v>
      </c>
    </row>
    <row r="46" spans="2:5" x14ac:dyDescent="0.25">
      <c r="B46" s="1" t="str">
        <v>Steven Stamkos</v>
      </c>
      <c r="C46" s="13">
        <f>VLOOKUP(B46,Table1[[Player]:[FP/G]],7,FALSE)</f>
        <v>5.0302203985892504</v>
      </c>
      <c r="D46" s="14">
        <f>COUNT($C$6:C46)</f>
        <v>41</v>
      </c>
      <c r="E46" s="13">
        <f t="shared" si="0"/>
        <v>0.39651462524295056</v>
      </c>
    </row>
    <row r="47" spans="2:5" x14ac:dyDescent="0.25">
      <c r="B47" s="1" t="str">
        <v>Andrei Kuzmenko</v>
      </c>
      <c r="C47" s="13">
        <f>VLOOKUP(B47,Table1[[Player]:[FP/G]],7,FALSE)</f>
        <v>5.02502802495595</v>
      </c>
      <c r="D47" s="14">
        <f>COUNT($C$6:C47)</f>
        <v>42</v>
      </c>
      <c r="E47" s="13">
        <f t="shared" si="0"/>
        <v>0.39132225160965017</v>
      </c>
    </row>
    <row r="48" spans="2:5" x14ac:dyDescent="0.25">
      <c r="B48" s="1" t="str">
        <v>Oliver Bjorkstrand</v>
      </c>
      <c r="C48" s="13">
        <f>VLOOKUP(B48,Table1[[Player]:[FP/G]],7,FALSE)</f>
        <v>4.98969615051438</v>
      </c>
      <c r="D48" s="14">
        <f>COUNT($C$6:C48)</f>
        <v>43</v>
      </c>
      <c r="E48" s="13">
        <f t="shared" si="0"/>
        <v>0.35599037716808013</v>
      </c>
    </row>
    <row r="49" spans="2:5" x14ac:dyDescent="0.25">
      <c r="B49" s="1" t="str">
        <v>Ryan Nugent-Hopkins</v>
      </c>
      <c r="C49" s="13">
        <f>VLOOKUP(B49,Table1[[Player]:[FP/G]],7,FALSE)</f>
        <v>4.9813103192058801</v>
      </c>
      <c r="D49" s="14">
        <f>COUNT($C$6:C49)</f>
        <v>44</v>
      </c>
      <c r="E49" s="13">
        <f t="shared" si="0"/>
        <v>0.34760454585958023</v>
      </c>
    </row>
    <row r="50" spans="2:5" x14ac:dyDescent="0.25">
      <c r="B50" s="1" t="str">
        <v>Yegor Sharangovich</v>
      </c>
      <c r="C50" s="13">
        <f>VLOOKUP(B50,Table1[[Player]:[FP/G]],7,FALSE)</f>
        <v>4.9515967798105596</v>
      </c>
      <c r="D50" s="14">
        <f>COUNT($C$6:C50)</f>
        <v>45</v>
      </c>
      <c r="E50" s="13">
        <f t="shared" si="0"/>
        <v>0.31789100646425972</v>
      </c>
    </row>
    <row r="51" spans="2:5" x14ac:dyDescent="0.25">
      <c r="B51" s="1" t="str">
        <v>Dylan Holloway</v>
      </c>
      <c r="C51" s="13">
        <f>VLOOKUP(B51,Table1[[Player]:[FP/G]],7,FALSE)</f>
        <v>4.9485697168764604</v>
      </c>
      <c r="D51" s="14">
        <f>COUNT($C$6:C51)</f>
        <v>46</v>
      </c>
      <c r="E51" s="13">
        <f t="shared" si="0"/>
        <v>0.31486394353016056</v>
      </c>
    </row>
    <row r="52" spans="2:5" x14ac:dyDescent="0.25">
      <c r="B52" s="1" t="str">
        <v>Ivan Barbashev</v>
      </c>
      <c r="C52" s="13">
        <f>VLOOKUP(B52,Table1[[Player]:[FP/G]],7,FALSE)</f>
        <v>4.8233849834603202</v>
      </c>
      <c r="D52" s="14">
        <f>COUNT($C$6:C52)</f>
        <v>47</v>
      </c>
      <c r="E52" s="13">
        <f t="shared" si="0"/>
        <v>0.18967921011402034</v>
      </c>
    </row>
    <row r="53" spans="2:5" x14ac:dyDescent="0.25">
      <c r="B53" s="1" t="str">
        <v>Jonathan Drouin</v>
      </c>
      <c r="C53" s="13">
        <f>VLOOKUP(B53,Table1[[Player]:[FP/G]],7,FALSE)</f>
        <v>4.8122609676088102</v>
      </c>
      <c r="D53" s="14">
        <f>COUNT($C$6:C53)</f>
        <v>48</v>
      </c>
      <c r="E53" s="13">
        <f t="shared" si="0"/>
        <v>0.17855519426251032</v>
      </c>
    </row>
    <row r="54" spans="2:5" x14ac:dyDescent="0.25">
      <c r="B54" s="1" t="str">
        <v>Gustav Nyquist</v>
      </c>
      <c r="C54" s="13">
        <f>VLOOKUP(B54,Table1[[Player]:[FP/G]],7,FALSE)</f>
        <v>4.7898736493007998</v>
      </c>
      <c r="D54" s="14">
        <f>COUNT($C$6:C54)</f>
        <v>49</v>
      </c>
      <c r="E54" s="13">
        <f t="shared" si="0"/>
        <v>0.15616787595449999</v>
      </c>
    </row>
    <row r="55" spans="2:5" x14ac:dyDescent="0.25">
      <c r="B55" s="1" t="str">
        <v>Fabian Zetterlund</v>
      </c>
      <c r="C55" s="13">
        <f>VLOOKUP(B55,Table1[[Player]:[FP/G]],7,FALSE)</f>
        <v>4.7777880811470101</v>
      </c>
      <c r="D55" s="14">
        <f>COUNT($C$6:C55)</f>
        <v>50</v>
      </c>
      <c r="E55" s="13">
        <f t="shared" si="0"/>
        <v>0.1440823078007103</v>
      </c>
    </row>
    <row r="56" spans="2:5" x14ac:dyDescent="0.25">
      <c r="B56" s="1" t="str">
        <v>Lawson Crouse</v>
      </c>
      <c r="C56" s="13">
        <f>VLOOKUP(B56,Table1[[Player]:[FP/G]],7,FALSE)</f>
        <v>4.7273106604781399</v>
      </c>
      <c r="D56" s="14">
        <f>COUNT($C$6:C56)</f>
        <v>51</v>
      </c>
      <c r="E56" s="13">
        <f t="shared" si="0"/>
        <v>9.3604887131840009E-2</v>
      </c>
    </row>
    <row r="57" spans="2:5" x14ac:dyDescent="0.25">
      <c r="B57" s="1" t="str">
        <v>Teuvo Teravainen</v>
      </c>
      <c r="C57" s="13">
        <f>VLOOKUP(B57,Table1[[Player]:[FP/G]],7,FALSE)</f>
        <v>4.7239930994950399</v>
      </c>
      <c r="D57" s="14">
        <f>COUNT($C$6:C57)</f>
        <v>52</v>
      </c>
      <c r="E57" s="13">
        <f t="shared" si="0"/>
        <v>9.0287326148740021E-2</v>
      </c>
    </row>
    <row r="58" spans="2:5" x14ac:dyDescent="0.25">
      <c r="B58" s="1" t="str">
        <v>Michael Bunting</v>
      </c>
      <c r="C58" s="13">
        <f>VLOOKUP(B58,Table1[[Player]:[FP/G]],7,FALSE)</f>
        <v>4.7198206294643503</v>
      </c>
      <c r="D58" s="14">
        <f>COUNT($C$6:C58)</f>
        <v>53</v>
      </c>
      <c r="E58" s="13">
        <f t="shared" si="0"/>
        <v>8.6114856118050476E-2</v>
      </c>
    </row>
    <row r="59" spans="2:5" x14ac:dyDescent="0.25">
      <c r="B59" s="1" t="str">
        <v>Tyler Bertuzzi</v>
      </c>
      <c r="C59" s="13">
        <f>VLOOKUP(B59,Table1[[Player]:[FP/G]],7,FALSE)</f>
        <v>4.68722419788745</v>
      </c>
      <c r="D59" s="14">
        <f>COUNT($C$6:C59)</f>
        <v>54</v>
      </c>
      <c r="E59" s="13">
        <f t="shared" si="0"/>
        <v>5.3518424541150189E-2</v>
      </c>
    </row>
    <row r="60" spans="2:5" x14ac:dyDescent="0.25">
      <c r="B60" s="1" t="str">
        <v>Alexis Lafreniere</v>
      </c>
      <c r="C60" s="13">
        <f>VLOOKUP(B60,Table1[[Player]:[FP/G]],7,FALSE)</f>
        <v>4.6613819399664704</v>
      </c>
      <c r="D60" s="14">
        <f>COUNT($C$6:C60)</f>
        <v>55</v>
      </c>
      <c r="E60" s="13">
        <f t="shared" si="0"/>
        <v>2.7676166620170584E-2</v>
      </c>
    </row>
    <row r="61" spans="2:5" x14ac:dyDescent="0.25">
      <c r="B61" s="1" t="str">
        <v>Anders Lee</v>
      </c>
      <c r="C61" s="13">
        <f>VLOOKUP(B61,Table1[[Player]:[FP/G]],7,FALSE)</f>
        <v>4.6337057733462998</v>
      </c>
      <c r="D61" s="14">
        <f>COUNT($C$6:C61)</f>
        <v>56</v>
      </c>
      <c r="E61" s="13">
        <f t="shared" si="0"/>
        <v>0</v>
      </c>
    </row>
    <row r="62" spans="2:5" x14ac:dyDescent="0.25">
      <c r="B62" s="1" t="str">
        <v>Ross Colton</v>
      </c>
      <c r="C62" s="13">
        <f>VLOOKUP(B62,Table1[[Player]:[FP/G]],7,FALSE)</f>
        <v>4.6053511836852099</v>
      </c>
      <c r="D62" s="14">
        <f>COUNT($C$6:C62)</f>
        <v>57</v>
      </c>
      <c r="E62" s="13">
        <f t="shared" si="0"/>
        <v>-2.8354589661089946E-2</v>
      </c>
    </row>
    <row r="63" spans="2:5" x14ac:dyDescent="0.25">
      <c r="B63" s="1" t="str">
        <v>Nino Niederreiter</v>
      </c>
      <c r="C63" s="13">
        <f>VLOOKUP(B63,Table1[[Player]:[FP/G]],7,FALSE)</f>
        <v>4.5671233352896898</v>
      </c>
      <c r="D63" s="14">
        <f>COUNT($C$6:C63)</f>
        <v>58</v>
      </c>
      <c r="E63" s="13">
        <f t="shared" si="0"/>
        <v>-6.6582438056610016E-2</v>
      </c>
    </row>
    <row r="64" spans="2:5" x14ac:dyDescent="0.25">
      <c r="B64" s="1" t="str">
        <v>Mason Marchment</v>
      </c>
      <c r="C64" s="13">
        <f>VLOOKUP(B64,Table1[[Player]:[FP/G]],7,FALSE)</f>
        <v>4.5308692353334798</v>
      </c>
      <c r="D64" s="14">
        <f>COUNT($C$6:C64)</f>
        <v>59</v>
      </c>
      <c r="E64" s="13">
        <f t="shared" si="0"/>
        <v>-0.10283653801282</v>
      </c>
    </row>
    <row r="65" spans="2:5" x14ac:dyDescent="0.25">
      <c r="B65" s="1" t="str">
        <v>Eeli Tolvanen</v>
      </c>
      <c r="C65" s="13">
        <f>VLOOKUP(B65,Table1[[Player]:[FP/G]],7,FALSE)</f>
        <v>4.52004185404867</v>
      </c>
      <c r="D65" s="14">
        <f>COUNT($C$6:C65)</f>
        <v>60</v>
      </c>
      <c r="E65" s="13">
        <f t="shared" si="0"/>
        <v>-0.11366391929762987</v>
      </c>
    </row>
    <row r="66" spans="2:5" x14ac:dyDescent="0.25">
      <c r="B66" s="1" t="str">
        <v>Pavel Zacha</v>
      </c>
      <c r="C66" s="13">
        <f>VLOOKUP(B66,Table1[[Player]:[FP/G]],7,FALSE)</f>
        <v>4.5019730608196697</v>
      </c>
      <c r="D66" s="14">
        <f>COUNT($C$6:C66)</f>
        <v>61</v>
      </c>
      <c r="E66" s="13">
        <f t="shared" si="0"/>
        <v>-0.1317327125266301</v>
      </c>
    </row>
    <row r="67" spans="2:5" x14ac:dyDescent="0.25">
      <c r="B67" s="1" t="str">
        <v>Pavel Dorofeyev</v>
      </c>
      <c r="C67" s="13">
        <f>VLOOKUP(B67,Table1[[Player]:[FP/G]],7,FALSE)</f>
        <v>4.5008971925933503</v>
      </c>
      <c r="D67" s="14">
        <f>COUNT($C$6:C67)</f>
        <v>62</v>
      </c>
      <c r="E67" s="13">
        <f t="shared" si="0"/>
        <v>-0.13280858075294955</v>
      </c>
    </row>
    <row r="68" spans="2:5" x14ac:dyDescent="0.25">
      <c r="B68" s="1" t="str">
        <v>Kent Johnson</v>
      </c>
      <c r="C68" s="13">
        <f>VLOOKUP(B68,Table1[[Player]:[FP/G]],7,FALSE)</f>
        <v>4.4982274737100401</v>
      </c>
      <c r="D68" s="14">
        <f>COUNT($C$6:C68)</f>
        <v>63</v>
      </c>
      <c r="E68" s="13">
        <f t="shared" si="0"/>
        <v>-0.13547829963625979</v>
      </c>
    </row>
    <row r="69" spans="2:5" x14ac:dyDescent="0.25">
      <c r="B69" s="1" t="str">
        <v>Jeff Skinner</v>
      </c>
      <c r="C69" s="13">
        <f>VLOOKUP(B69,Table1[[Player]:[FP/G]],7,FALSE)</f>
        <v>4.4870686408251901</v>
      </c>
      <c r="D69" s="14">
        <f>COUNT($C$6:C69)</f>
        <v>64</v>
      </c>
      <c r="E69" s="13">
        <f t="shared" si="0"/>
        <v>-0.14663713252110977</v>
      </c>
    </row>
    <row r="70" spans="2:5" x14ac:dyDescent="0.25">
      <c r="B70" s="1" t="str">
        <v>Cole Perfetti</v>
      </c>
      <c r="C70" s="13">
        <f>VLOOKUP(B70,Table1[[Player]:[FP/G]],7,FALSE)</f>
        <v>4.4716671435043898</v>
      </c>
      <c r="D70" s="14">
        <f>COUNT($C$6:C70)</f>
        <v>65</v>
      </c>
      <c r="E70" s="13">
        <f t="shared" si="0"/>
        <v>-0.16203862984191009</v>
      </c>
    </row>
    <row r="71" spans="2:5" x14ac:dyDescent="0.25">
      <c r="B71" s="1" t="str">
        <v>Jaden Schwartz</v>
      </c>
      <c r="C71" s="13">
        <f>VLOOKUP(B71,Table1[[Player]:[FP/G]],7,FALSE)</f>
        <v>4.44257792468159</v>
      </c>
      <c r="D71" s="14">
        <f>COUNT($C$6:C71)</f>
        <v>66</v>
      </c>
      <c r="E71" s="13">
        <f t="shared" ref="E71:E134" si="1">C71-VLOOKUP($C$3,$B$6:$D$187,2,FALSE)</f>
        <v>-0.19112784866470989</v>
      </c>
    </row>
    <row r="72" spans="2:5" x14ac:dyDescent="0.25">
      <c r="B72" s="1" t="str">
        <v>Claude Giroux</v>
      </c>
      <c r="C72" s="13">
        <f>VLOOKUP(B72,Table1[[Player]:[FP/G]],7,FALSE)</f>
        <v>4.3994207073850102</v>
      </c>
      <c r="D72" s="14">
        <f>COUNT($C$6:C72)</f>
        <v>67</v>
      </c>
      <c r="E72" s="13">
        <f t="shared" si="1"/>
        <v>-0.23428506596128962</v>
      </c>
    </row>
    <row r="73" spans="2:5" x14ac:dyDescent="0.25">
      <c r="B73" s="1" t="str">
        <v>Juraj Slafkovsky</v>
      </c>
      <c r="C73" s="13">
        <f>VLOOKUP(B73,Table1[[Player]:[FP/G]],7,FALSE)</f>
        <v>4.3832330140208997</v>
      </c>
      <c r="D73" s="14">
        <f>COUNT($C$6:C73)</f>
        <v>68</v>
      </c>
      <c r="E73" s="13">
        <f t="shared" si="1"/>
        <v>-0.25047275932540014</v>
      </c>
    </row>
    <row r="74" spans="2:5" x14ac:dyDescent="0.25">
      <c r="B74" s="1" t="str">
        <v>Boone Jenner</v>
      </c>
      <c r="C74" s="13">
        <f>VLOOKUP(B74,Table1[[Player]:[FP/G]],7,FALSE)</f>
        <v>4.3478995352518099</v>
      </c>
      <c r="D74" s="14">
        <f>COUNT($C$6:C74)</f>
        <v>69</v>
      </c>
      <c r="E74" s="13">
        <f t="shared" si="1"/>
        <v>-0.28580623809448991</v>
      </c>
    </row>
    <row r="75" spans="2:5" x14ac:dyDescent="0.25">
      <c r="B75" s="1" t="str">
        <v>Will Cuylle</v>
      </c>
      <c r="C75" s="13">
        <f>VLOOKUP(B75,Table1[[Player]:[FP/G]],7,FALSE)</f>
        <v>4.2586322408406998</v>
      </c>
      <c r="D75" s="14">
        <f>COUNT($C$6:C75)</f>
        <v>70</v>
      </c>
      <c r="E75" s="13">
        <f t="shared" si="1"/>
        <v>-0.37507353250560005</v>
      </c>
    </row>
    <row r="76" spans="2:5" x14ac:dyDescent="0.25">
      <c r="B76" s="1" t="str">
        <v>Connor McMichael</v>
      </c>
      <c r="C76" s="13">
        <f>VLOOKUP(B76,Table1[[Player]:[FP/G]],7,FALSE)</f>
        <v>4.2252209825788203</v>
      </c>
      <c r="D76" s="14">
        <f>COUNT($C$6:C76)</f>
        <v>71</v>
      </c>
      <c r="E76" s="13">
        <f t="shared" si="1"/>
        <v>-0.40848479076747957</v>
      </c>
    </row>
    <row r="77" spans="2:5" x14ac:dyDescent="0.25">
      <c r="B77" s="1" t="str">
        <v>Tyson Foerster</v>
      </c>
      <c r="C77" s="13">
        <f>VLOOKUP(B77,Table1[[Player]:[FP/G]],7,FALSE)</f>
        <v>4.2228812660040198</v>
      </c>
      <c r="D77" s="14">
        <f>COUNT($C$6:C77)</f>
        <v>72</v>
      </c>
      <c r="E77" s="13">
        <f t="shared" si="1"/>
        <v>-0.41082450734228004</v>
      </c>
    </row>
    <row r="78" spans="2:5" x14ac:dyDescent="0.25">
      <c r="B78" s="1" t="str">
        <v>Nick Foligno</v>
      </c>
      <c r="C78" s="13">
        <f>VLOOKUP(B78,Table1[[Player]:[FP/G]],7,FALSE)</f>
        <v>4.1440976878787996</v>
      </c>
      <c r="D78" s="14">
        <f>COUNT($C$6:C78)</f>
        <v>73</v>
      </c>
      <c r="E78" s="13">
        <f t="shared" si="1"/>
        <v>-0.48960808546750023</v>
      </c>
    </row>
    <row r="79" spans="2:5" x14ac:dyDescent="0.25">
      <c r="B79" s="1" t="str">
        <v>Warren Foegele</v>
      </c>
      <c r="C79" s="13">
        <f>VLOOKUP(B79,Table1[[Player]:[FP/G]],7,FALSE)</f>
        <v>4.1210746106828697</v>
      </c>
      <c r="D79" s="14">
        <f>COUNT($C$6:C79)</f>
        <v>74</v>
      </c>
      <c r="E79" s="13">
        <f t="shared" si="1"/>
        <v>-0.51263116266343012</v>
      </c>
    </row>
    <row r="80" spans="2:5" x14ac:dyDescent="0.25">
      <c r="B80" s="1" t="str">
        <v>William Eklund</v>
      </c>
      <c r="C80" s="13">
        <f>VLOOKUP(B80,Table1[[Player]:[FP/G]],7,FALSE)</f>
        <v>4.1022438680737698</v>
      </c>
      <c r="D80" s="14">
        <f>COUNT($C$6:C80)</f>
        <v>75</v>
      </c>
      <c r="E80" s="13">
        <f t="shared" si="1"/>
        <v>-0.53146190527253001</v>
      </c>
    </row>
    <row r="81" spans="2:5" x14ac:dyDescent="0.25">
      <c r="B81" s="1" t="str">
        <v>Stefan Noesen</v>
      </c>
      <c r="C81" s="13">
        <f>VLOOKUP(B81,Table1[[Player]:[FP/G]],7,FALSE)</f>
        <v>4.0989341226535601</v>
      </c>
      <c r="D81" s="14">
        <f>COUNT($C$6:C81)</f>
        <v>76</v>
      </c>
      <c r="E81" s="13">
        <f t="shared" si="1"/>
        <v>-0.5347716506927398</v>
      </c>
    </row>
    <row r="82" spans="2:5" x14ac:dyDescent="0.25">
      <c r="B82" s="1" t="str">
        <v>Evan Rodrigues</v>
      </c>
      <c r="C82" s="13">
        <f>VLOOKUP(B82,Table1[[Player]:[FP/G]],7,FALSE)</f>
        <v>4.0758365664786398</v>
      </c>
      <c r="D82" s="14">
        <f>COUNT($C$6:C82)</f>
        <v>77</v>
      </c>
      <c r="E82" s="13">
        <f t="shared" si="1"/>
        <v>-0.55786920686766006</v>
      </c>
    </row>
    <row r="83" spans="2:5" x14ac:dyDescent="0.25">
      <c r="B83" s="1" t="str">
        <v>Morgan Geekie</v>
      </c>
      <c r="C83" s="13">
        <f>VLOOKUP(B83,Table1[[Player]:[FP/G]],7,FALSE)</f>
        <v>4.0276133457508703</v>
      </c>
      <c r="D83" s="14">
        <f>COUNT($C$6:C83)</f>
        <v>78</v>
      </c>
      <c r="E83" s="13">
        <f t="shared" si="1"/>
        <v>-0.60609242759542958</v>
      </c>
    </row>
    <row r="84" spans="2:5" x14ac:dyDescent="0.25">
      <c r="B84" s="1" t="str">
        <v>Matias Maccelli</v>
      </c>
      <c r="C84" s="13">
        <f>VLOOKUP(B84,Table1[[Player]:[FP/G]],7,FALSE)</f>
        <v>3.9683091586877799</v>
      </c>
      <c r="D84" s="14">
        <f>COUNT($C$6:C84)</f>
        <v>79</v>
      </c>
      <c r="E84" s="13">
        <f t="shared" si="1"/>
        <v>-0.66539661465851996</v>
      </c>
    </row>
    <row r="85" spans="2:5" x14ac:dyDescent="0.25">
      <c r="B85" s="1" t="str">
        <v>Jake Neighbours</v>
      </c>
      <c r="C85" s="13">
        <f>VLOOKUP(B85,Table1[[Player]:[FP/G]],7,FALSE)</f>
        <v>3.9351911263883901</v>
      </c>
      <c r="D85" s="14">
        <f>COUNT($C$6:C85)</f>
        <v>80</v>
      </c>
      <c r="E85" s="13">
        <f t="shared" si="1"/>
        <v>-0.69851464695790977</v>
      </c>
    </row>
    <row r="86" spans="2:5" x14ac:dyDescent="0.25">
      <c r="B86" s="1" t="str">
        <v>Vasili Podkolzin</v>
      </c>
      <c r="C86" s="13">
        <f>VLOOKUP(B86,Table1[[Player]:[FP/G]],7,FALSE)</f>
        <v>3.91736825887113</v>
      </c>
      <c r="D86" s="14">
        <f>COUNT($C$6:C86)</f>
        <v>81</v>
      </c>
      <c r="E86" s="13">
        <f t="shared" si="1"/>
        <v>-0.7163375144751698</v>
      </c>
    </row>
    <row r="87" spans="2:5" x14ac:dyDescent="0.25">
      <c r="B87" s="1" t="str">
        <v>Reilly Smith</v>
      </c>
      <c r="C87" s="13">
        <f>VLOOKUP(B87,Table1[[Player]:[FP/G]],7,FALSE)</f>
        <v>3.8918783092606102</v>
      </c>
      <c r="D87" s="14">
        <f>COUNT($C$6:C87)</f>
        <v>82</v>
      </c>
      <c r="E87" s="13">
        <f t="shared" si="1"/>
        <v>-0.74182746408568967</v>
      </c>
    </row>
    <row r="88" spans="2:5" x14ac:dyDescent="0.25">
      <c r="B88" s="1" t="str">
        <v>Taylor Hall</v>
      </c>
      <c r="C88" s="13">
        <f>VLOOKUP(B88,Table1[[Player]:[FP/G]],7,FALSE)</f>
        <v>3.8640576011021102</v>
      </c>
      <c r="D88" s="14">
        <f>COUNT($C$6:C88)</f>
        <v>83</v>
      </c>
      <c r="E88" s="13">
        <f t="shared" si="1"/>
        <v>-0.76964817224418969</v>
      </c>
    </row>
    <row r="89" spans="2:5" x14ac:dyDescent="0.25">
      <c r="B89" s="1" t="str">
        <v>Erik Haula</v>
      </c>
      <c r="C89" s="13">
        <f>VLOOKUP(B89,Table1[[Player]:[FP/G]],7,FALSE)</f>
        <v>3.7717277324026401</v>
      </c>
      <c r="D89" s="14">
        <f>COUNT($C$6:C89)</f>
        <v>84</v>
      </c>
      <c r="E89" s="13">
        <f t="shared" si="1"/>
        <v>-0.86197804094365971</v>
      </c>
    </row>
    <row r="90" spans="2:5" x14ac:dyDescent="0.25">
      <c r="B90" s="1" t="str">
        <v>Aliaksei Protas</v>
      </c>
      <c r="C90" s="13">
        <f>VLOOKUP(B90,Table1[[Player]:[FP/G]],7,FALSE)</f>
        <v>3.7466158435269801</v>
      </c>
      <c r="D90" s="14">
        <f>COUNT($C$6:C90)</f>
        <v>85</v>
      </c>
      <c r="E90" s="13">
        <f t="shared" si="1"/>
        <v>-0.88708992981931978</v>
      </c>
    </row>
    <row r="91" spans="2:5" x14ac:dyDescent="0.25">
      <c r="B91" s="1" t="str">
        <v>Drew OConnor</v>
      </c>
      <c r="C91" s="13">
        <f>VLOOKUP(B91,Table1[[Player]:[FP/G]],7,FALSE)</f>
        <v>3.7328570376170598</v>
      </c>
      <c r="D91" s="14">
        <f>COUNT($C$6:C91)</f>
        <v>86</v>
      </c>
      <c r="E91" s="13">
        <f t="shared" si="1"/>
        <v>-0.90084873572924007</v>
      </c>
    </row>
    <row r="92" spans="2:5" x14ac:dyDescent="0.25">
      <c r="B92" s="1" t="str">
        <v>Alexander Kerfoot</v>
      </c>
      <c r="C92" s="13">
        <f>VLOOKUP(B92,Table1[[Player]:[FP/G]],7,FALSE)</f>
        <v>3.7298277923614598</v>
      </c>
      <c r="D92" s="14">
        <f>COUNT($C$6:C92)</f>
        <v>87</v>
      </c>
      <c r="E92" s="13">
        <f t="shared" si="1"/>
        <v>-0.90387798098484007</v>
      </c>
    </row>
    <row r="93" spans="2:5" x14ac:dyDescent="0.25">
      <c r="B93" s="1" t="str">
        <v>Kiefer Sherwood</v>
      </c>
      <c r="C93" s="13">
        <f>VLOOKUP(B93,Table1[[Player]:[FP/G]],7,FALSE)</f>
        <v>3.7254584318733501</v>
      </c>
      <c r="D93" s="14">
        <f>COUNT($C$6:C93)</f>
        <v>88</v>
      </c>
      <c r="E93" s="13">
        <f t="shared" si="1"/>
        <v>-0.90824734147294972</v>
      </c>
    </row>
    <row r="94" spans="2:5" x14ac:dyDescent="0.25">
      <c r="B94" s="1" t="str">
        <v>Adam Henrique</v>
      </c>
      <c r="C94" s="13">
        <f>VLOOKUP(B94,Table1[[Player]:[FP/G]],7,FALSE)</f>
        <v>3.71728264883801</v>
      </c>
      <c r="D94" s="14">
        <f>COUNT($C$6:C94)</f>
        <v>89</v>
      </c>
      <c r="E94" s="13">
        <f t="shared" si="1"/>
        <v>-0.91642312450828989</v>
      </c>
    </row>
    <row r="95" spans="2:5" x14ac:dyDescent="0.25">
      <c r="B95" s="1" t="str">
        <v>Philipp Kurashev</v>
      </c>
      <c r="C95" s="13">
        <f>VLOOKUP(B95,Table1[[Player]:[FP/G]],7,FALSE)</f>
        <v>3.7117948775446399</v>
      </c>
      <c r="D95" s="14">
        <f>COUNT($C$6:C95)</f>
        <v>90</v>
      </c>
      <c r="E95" s="13">
        <f t="shared" si="1"/>
        <v>-0.92191089580165997</v>
      </c>
    </row>
    <row r="96" spans="2:5" x14ac:dyDescent="0.25">
      <c r="B96" s="1" t="str">
        <v>Ridly Greig</v>
      </c>
      <c r="C96" s="13">
        <f>VLOOKUP(B96,Table1[[Player]:[FP/G]],7,FALSE)</f>
        <v>3.7024940627585301</v>
      </c>
      <c r="D96" s="14">
        <f>COUNT($C$6:C96)</f>
        <v>91</v>
      </c>
      <c r="E96" s="13">
        <f t="shared" si="1"/>
        <v>-0.93121171058776975</v>
      </c>
    </row>
    <row r="97" spans="2:5" x14ac:dyDescent="0.25">
      <c r="B97" s="1" t="str">
        <v>Joel Farabee</v>
      </c>
      <c r="C97" s="13">
        <f>VLOOKUP(B97,Table1[[Player]:[FP/G]],7,FALSE)</f>
        <v>3.6871251027324599</v>
      </c>
      <c r="D97" s="14">
        <f>COUNT($C$6:C97)</f>
        <v>92</v>
      </c>
      <c r="E97" s="13">
        <f t="shared" si="1"/>
        <v>-0.94658067061383999</v>
      </c>
    </row>
    <row r="98" spans="2:5" x14ac:dyDescent="0.25">
      <c r="B98" s="1" t="str">
        <v>Bobby McMann</v>
      </c>
      <c r="C98" s="13">
        <f>VLOOKUP(B98,Table1[[Player]:[FP/G]],7,FALSE)</f>
        <v>3.6696103488946301</v>
      </c>
      <c r="D98" s="14">
        <f>COUNT($C$6:C98)</f>
        <v>93</v>
      </c>
      <c r="E98" s="13">
        <f t="shared" si="1"/>
        <v>-0.96409542445166974</v>
      </c>
    </row>
    <row r="99" spans="2:5" x14ac:dyDescent="0.25">
      <c r="B99" s="1" t="str">
        <v>Brandon Saad</v>
      </c>
      <c r="C99" s="13">
        <f>VLOOKUP(B99,Table1[[Player]:[FP/G]],7,FALSE)</f>
        <v>3.64775685130917</v>
      </c>
      <c r="D99" s="14">
        <f>COUNT($C$6:C99)</f>
        <v>94</v>
      </c>
      <c r="E99" s="13">
        <f t="shared" si="1"/>
        <v>-0.9859489220371298</v>
      </c>
    </row>
    <row r="100" spans="2:5" x14ac:dyDescent="0.25">
      <c r="B100" s="1" t="str">
        <v>Alex Killorn</v>
      </c>
      <c r="C100" s="13">
        <f>VLOOKUP(B100,Table1[[Player]:[FP/G]],7,FALSE)</f>
        <v>3.6382387145320898</v>
      </c>
      <c r="D100" s="14">
        <f>COUNT($C$6:C100)</f>
        <v>95</v>
      </c>
      <c r="E100" s="13">
        <f t="shared" si="1"/>
        <v>-0.99546705881421005</v>
      </c>
    </row>
    <row r="101" spans="2:5" x14ac:dyDescent="0.25">
      <c r="B101" s="1" t="str">
        <v>David Perron</v>
      </c>
      <c r="C101" s="13">
        <f>VLOOKUP(B101,Table1[[Player]:[FP/G]],7,FALSE)</f>
        <v>3.5944359522274398</v>
      </c>
      <c r="D101" s="14">
        <f>COUNT($C$6:C101)</f>
        <v>96</v>
      </c>
      <c r="E101" s="13">
        <f t="shared" si="1"/>
        <v>-1.03926982111886</v>
      </c>
    </row>
    <row r="102" spans="2:5" x14ac:dyDescent="0.25">
      <c r="B102" s="1" t="str">
        <v>Tommy Novak</v>
      </c>
      <c r="C102" s="13">
        <f>VLOOKUP(B102,Table1[[Player]:[FP/G]],7,FALSE)</f>
        <v>3.57570259456008</v>
      </c>
      <c r="D102" s="14">
        <f>COUNT($C$6:C102)</f>
        <v>97</v>
      </c>
      <c r="E102" s="13">
        <f t="shared" si="1"/>
        <v>-1.0580031787862199</v>
      </c>
    </row>
    <row r="103" spans="2:5" x14ac:dyDescent="0.25">
      <c r="B103" s="1" t="str">
        <v>Nils Hoglander</v>
      </c>
      <c r="C103" s="13">
        <f>VLOOKUP(B103,Table1[[Player]:[FP/G]],7,FALSE)</f>
        <v>3.5699902754022399</v>
      </c>
      <c r="D103" s="14">
        <f>COUNT($C$6:C103)</f>
        <v>98</v>
      </c>
      <c r="E103" s="13">
        <f t="shared" si="1"/>
        <v>-1.06371549794406</v>
      </c>
    </row>
    <row r="104" spans="2:5" x14ac:dyDescent="0.25">
      <c r="B104" s="1" t="str">
        <v>Pius Suter</v>
      </c>
      <c r="C104" s="13">
        <f>VLOOKUP(B104,Table1[[Player]:[FP/G]],7,FALSE)</f>
        <v>3.5420495837627399</v>
      </c>
      <c r="D104" s="14">
        <f>COUNT($C$6:C104)</f>
        <v>99</v>
      </c>
      <c r="E104" s="13">
        <f t="shared" si="1"/>
        <v>-1.0916561895835599</v>
      </c>
    </row>
    <row r="105" spans="2:5" x14ac:dyDescent="0.25">
      <c r="B105" s="1" t="str">
        <v>Scott Laughton</v>
      </c>
      <c r="C105" s="13">
        <f>VLOOKUP(B105,Table1[[Player]:[FP/G]],7,FALSE)</f>
        <v>3.52438537518751</v>
      </c>
      <c r="D105" s="14">
        <f>COUNT($C$6:C105)</f>
        <v>100</v>
      </c>
      <c r="E105" s="13">
        <f t="shared" si="1"/>
        <v>-1.1093203981587898</v>
      </c>
    </row>
    <row r="106" spans="2:5" x14ac:dyDescent="0.25">
      <c r="B106" s="1" t="str">
        <v>Jack McBain</v>
      </c>
      <c r="C106" s="13">
        <f>VLOOKUP(B106,Table1[[Player]:[FP/G]],7,FALSE)</f>
        <v>3.5067428637149298</v>
      </c>
      <c r="D106" s="14">
        <f>COUNT($C$6:C106)</f>
        <v>101</v>
      </c>
      <c r="E106" s="13">
        <f t="shared" si="1"/>
        <v>-1.12696290963137</v>
      </c>
    </row>
    <row r="107" spans="2:5" x14ac:dyDescent="0.25">
      <c r="B107" s="1" t="str">
        <v>Jason Zucker</v>
      </c>
      <c r="C107" s="13">
        <f>VLOOKUP(B107,Table1[[Player]:[FP/G]],7,FALSE)</f>
        <v>3.4713872815653999</v>
      </c>
      <c r="D107" s="14">
        <f>COUNT($C$6:C107)</f>
        <v>102</v>
      </c>
      <c r="E107" s="13">
        <f t="shared" si="1"/>
        <v>-1.1623184917809</v>
      </c>
    </row>
    <row r="108" spans="2:5" x14ac:dyDescent="0.25">
      <c r="B108" s="1" t="str">
        <v>Ondrej Palat</v>
      </c>
      <c r="C108" s="13">
        <f>VLOOKUP(B108,Table1[[Player]:[FP/G]],7,FALSE)</f>
        <v>3.4657946638894601</v>
      </c>
      <c r="D108" s="14">
        <f>COUNT($C$6:C108)</f>
        <v>103</v>
      </c>
      <c r="E108" s="13">
        <f t="shared" si="1"/>
        <v>-1.1679111094568397</v>
      </c>
    </row>
    <row r="109" spans="2:5" x14ac:dyDescent="0.25">
      <c r="B109" s="1" t="str">
        <v>Nick Robertson</v>
      </c>
      <c r="C109" s="13">
        <f>VLOOKUP(B109,Table1[[Player]:[FP/G]],7,FALSE)</f>
        <v>3.4477286729209702</v>
      </c>
      <c r="D109" s="14">
        <f>COUNT($C$6:C109)</f>
        <v>104</v>
      </c>
      <c r="E109" s="13">
        <f t="shared" si="1"/>
        <v>-1.1859771004253297</v>
      </c>
    </row>
    <row r="110" spans="2:5" x14ac:dyDescent="0.25">
      <c r="B110" s="1" t="str">
        <v>Trevor Zegras</v>
      </c>
      <c r="C110" s="13">
        <f>VLOOKUP(B110,Table1[[Player]:[FP/G]],7,FALSE)</f>
        <v>3.4352418378782099</v>
      </c>
      <c r="D110" s="14">
        <f>COUNT($C$6:C110)</f>
        <v>105</v>
      </c>
      <c r="E110" s="13">
        <f t="shared" si="1"/>
        <v>-1.1984639354680899</v>
      </c>
    </row>
    <row r="111" spans="2:5" x14ac:dyDescent="0.25">
      <c r="B111" s="1" t="str">
        <v>Yegor Chinakhov</v>
      </c>
      <c r="C111" s="13">
        <f>VLOOKUP(B111,Table1[[Player]:[FP/G]],7,FALSE)</f>
        <v>3.3986195654928801</v>
      </c>
      <c r="D111" s="14">
        <f>COUNT($C$6:C111)</f>
        <v>106</v>
      </c>
      <c r="E111" s="13">
        <f t="shared" si="1"/>
        <v>-1.2350862078534197</v>
      </c>
    </row>
    <row r="112" spans="2:5" x14ac:dyDescent="0.25">
      <c r="B112" s="1" t="str">
        <v>Alex Turcotte</v>
      </c>
      <c r="C112" s="13">
        <f>VLOOKUP(B112,Table1[[Player]:[FP/G]],7,FALSE)</f>
        <v>3.3895629172408901</v>
      </c>
      <c r="D112" s="14">
        <f>COUNT($C$6:C112)</f>
        <v>107</v>
      </c>
      <c r="E112" s="13">
        <f t="shared" si="1"/>
        <v>-1.2441428561054098</v>
      </c>
    </row>
    <row r="113" spans="2:5" x14ac:dyDescent="0.25">
      <c r="B113" s="1" t="str">
        <v>Marcus Foligno</v>
      </c>
      <c r="C113" s="13">
        <f>VLOOKUP(B113,Table1[[Player]:[FP/G]],7,FALSE)</f>
        <v>3.3773241481532401</v>
      </c>
      <c r="D113" s="14">
        <f>COUNT($C$6:C113)</f>
        <v>108</v>
      </c>
      <c r="E113" s="13">
        <f t="shared" si="1"/>
        <v>-1.2563816251930597</v>
      </c>
    </row>
    <row r="114" spans="2:5" x14ac:dyDescent="0.25">
      <c r="B114" s="1" t="str">
        <v>Eetu Luostarinen</v>
      </c>
      <c r="C114" s="13">
        <f>VLOOKUP(B114,Table1[[Player]:[FP/G]],7,FALSE)</f>
        <v>3.3038220751207201</v>
      </c>
      <c r="D114" s="14">
        <f>COUNT($C$6:C114)</f>
        <v>109</v>
      </c>
      <c r="E114" s="13">
        <f t="shared" si="1"/>
        <v>-1.3298836982255797</v>
      </c>
    </row>
    <row r="115" spans="2:5" x14ac:dyDescent="0.25">
      <c r="B115" s="1" t="str">
        <v>Andrew Mangiapane</v>
      </c>
      <c r="C115" s="13">
        <f>VLOOKUP(B115,Table1[[Player]:[FP/G]],7,FALSE)</f>
        <v>3.2546933142740802</v>
      </c>
      <c r="D115" s="14">
        <f>COUNT($C$6:C115)</f>
        <v>110</v>
      </c>
      <c r="E115" s="13">
        <f t="shared" si="1"/>
        <v>-1.3790124590722197</v>
      </c>
    </row>
    <row r="116" spans="2:5" x14ac:dyDescent="0.25">
      <c r="B116" s="1" t="str">
        <v>Andre Burakovsky</v>
      </c>
      <c r="C116" s="13">
        <f>VLOOKUP(B116,Table1[[Player]:[FP/G]],7,FALSE)</f>
        <v>3.2335711616818501</v>
      </c>
      <c r="D116" s="14">
        <f>COUNT($C$6:C116)</f>
        <v>111</v>
      </c>
      <c r="E116" s="13">
        <f t="shared" si="1"/>
        <v>-1.4001346116644497</v>
      </c>
    </row>
    <row r="117" spans="2:5" x14ac:dyDescent="0.25">
      <c r="B117" s="1" t="str">
        <v>Andrew Copp</v>
      </c>
      <c r="C117" s="13">
        <f>VLOOKUP(B117,Table1[[Player]:[FP/G]],7,FALSE)</f>
        <v>3.2218689147933399</v>
      </c>
      <c r="D117" s="14">
        <f>COUNT($C$6:C117)</f>
        <v>112</v>
      </c>
      <c r="E117" s="13">
        <f t="shared" si="1"/>
        <v>-1.4118368585529599</v>
      </c>
    </row>
    <row r="118" spans="2:5" x14ac:dyDescent="0.25">
      <c r="B118" s="1" t="str">
        <v>Anthony Duclair</v>
      </c>
      <c r="C118" s="13">
        <f>VLOOKUP(B118,Table1[[Player]:[FP/G]],7,FALSE)</f>
        <v>3.2208907542337002</v>
      </c>
      <c r="D118" s="14">
        <f>COUNT($C$6:C118)</f>
        <v>113</v>
      </c>
      <c r="E118" s="13">
        <f t="shared" si="1"/>
        <v>-1.4128150191125997</v>
      </c>
    </row>
    <row r="119" spans="2:5" x14ac:dyDescent="0.25">
      <c r="B119" s="1" t="str">
        <v>Danton Heinen</v>
      </c>
      <c r="C119" s="13">
        <f>VLOOKUP(B119,Table1[[Player]:[FP/G]],7,FALSE)</f>
        <v>3.2017075258837902</v>
      </c>
      <c r="D119" s="14">
        <f>COUNT($C$6:C119)</f>
        <v>114</v>
      </c>
      <c r="E119" s="13">
        <f t="shared" si="1"/>
        <v>-1.4319982474625097</v>
      </c>
    </row>
    <row r="120" spans="2:5" x14ac:dyDescent="0.25">
      <c r="B120" s="1" t="str">
        <v>Alex Iafallo</v>
      </c>
      <c r="C120" s="13">
        <f>VLOOKUP(B120,Table1[[Player]:[FP/G]],7,FALSE)</f>
        <v>3.1819056309805398</v>
      </c>
      <c r="D120" s="14">
        <f>COUNT($C$6:C120)</f>
        <v>115</v>
      </c>
      <c r="E120" s="13">
        <f t="shared" si="1"/>
        <v>-1.45180014236576</v>
      </c>
    </row>
    <row r="121" spans="2:5" x14ac:dyDescent="0.25">
      <c r="B121" s="1" t="str">
        <v>Lukas Reichel</v>
      </c>
      <c r="C121" s="13">
        <f>VLOOKUP(B121,Table1[[Player]:[FP/G]],7,FALSE)</f>
        <v>3.1812993592726202</v>
      </c>
      <c r="D121" s="14">
        <f>COUNT($C$6:C121)</f>
        <v>116</v>
      </c>
      <c r="E121" s="13">
        <f t="shared" si="1"/>
        <v>-1.4524064140736797</v>
      </c>
    </row>
    <row r="122" spans="2:5" x14ac:dyDescent="0.25">
      <c r="B122" s="1" t="str">
        <v>Ryan Donato</v>
      </c>
      <c r="C122" s="13">
        <f>VLOOKUP(B122,Table1[[Player]:[FP/G]],7,FALSE)</f>
        <v>3.1597179897930299</v>
      </c>
      <c r="D122" s="14">
        <f>COUNT($C$6:C122)</f>
        <v>117</v>
      </c>
      <c r="E122" s="13">
        <f t="shared" si="1"/>
        <v>-1.47398778355327</v>
      </c>
    </row>
    <row r="123" spans="2:5" x14ac:dyDescent="0.25">
      <c r="B123" s="1" t="str">
        <v>Simon Holmstrom</v>
      </c>
      <c r="C123" s="13">
        <f>VLOOKUP(B123,Table1[[Player]:[FP/G]],7,FALSE)</f>
        <v>3.1399803742778101</v>
      </c>
      <c r="D123" s="14">
        <f>COUNT($C$6:C123)</f>
        <v>118</v>
      </c>
      <c r="E123" s="13">
        <f t="shared" si="1"/>
        <v>-1.4937253990684898</v>
      </c>
    </row>
    <row r="124" spans="2:5" x14ac:dyDescent="0.25">
      <c r="B124" s="1" t="str">
        <v>Dakota Joshua</v>
      </c>
      <c r="C124" s="13">
        <f>VLOOKUP(B124,Table1[[Player]:[FP/G]],7,FALSE)</f>
        <v>3.1274416214276002</v>
      </c>
      <c r="D124" s="14">
        <f>COUNT($C$6:C124)</f>
        <v>119</v>
      </c>
      <c r="E124" s="13">
        <f t="shared" si="1"/>
        <v>-1.5062641519186997</v>
      </c>
    </row>
    <row r="125" spans="2:5" x14ac:dyDescent="0.25">
      <c r="B125" s="1" t="str">
        <v>Alex Newhook</v>
      </c>
      <c r="C125" s="13">
        <f>VLOOKUP(B125,Table1[[Player]:[FP/G]],7,FALSE)</f>
        <v>3.0827857113277002</v>
      </c>
      <c r="D125" s="14">
        <f>COUNT($C$6:C125)</f>
        <v>120</v>
      </c>
      <c r="E125" s="13">
        <f t="shared" si="1"/>
        <v>-1.5509200620185997</v>
      </c>
    </row>
    <row r="126" spans="2:5" x14ac:dyDescent="0.25">
      <c r="B126" s="1" t="str">
        <v>Brett Howden</v>
      </c>
      <c r="C126" s="13">
        <f>VLOOKUP(B126,Table1[[Player]:[FP/G]],7,FALSE)</f>
        <v>3.0780773609980798</v>
      </c>
      <c r="D126" s="14">
        <f>COUNT($C$6:C126)</f>
        <v>121</v>
      </c>
      <c r="E126" s="13">
        <f t="shared" si="1"/>
        <v>-1.55562841234822</v>
      </c>
    </row>
    <row r="127" spans="2:5" x14ac:dyDescent="0.25">
      <c r="B127" s="1" t="str">
        <v>Paul Cotter</v>
      </c>
      <c r="C127" s="13">
        <f>VLOOKUP(B127,Table1[[Player]:[FP/G]],7,FALSE)</f>
        <v>3.06531440207897</v>
      </c>
      <c r="D127" s="14">
        <f>COUNT($C$6:C127)</f>
        <v>122</v>
      </c>
      <c r="E127" s="13">
        <f t="shared" si="1"/>
        <v>-1.5683913712673299</v>
      </c>
    </row>
    <row r="128" spans="2:5" x14ac:dyDescent="0.25">
      <c r="B128" s="1" t="str">
        <v>Jakob Pelletier</v>
      </c>
      <c r="C128" s="13">
        <f>VLOOKUP(B128,Table1[[Player]:[FP/G]],7,FALSE)</f>
        <v>3.03799154358112</v>
      </c>
      <c r="D128" s="14">
        <f>COUNT($C$6:C128)</f>
        <v>123</v>
      </c>
      <c r="E128" s="13">
        <f t="shared" si="1"/>
        <v>-1.5957142297651798</v>
      </c>
    </row>
    <row r="129" spans="2:5" x14ac:dyDescent="0.25">
      <c r="B129" s="1" t="str">
        <v>Victor Olofsson</v>
      </c>
      <c r="C129" s="13">
        <f>VLOOKUP(B129,Table1[[Player]:[FP/G]],7,FALSE)</f>
        <v>3.0292329280688102</v>
      </c>
      <c r="D129" s="14">
        <f>COUNT($C$6:C129)</f>
        <v>124</v>
      </c>
      <c r="E129" s="13">
        <f t="shared" si="1"/>
        <v>-1.6044728452774897</v>
      </c>
    </row>
    <row r="130" spans="2:5" x14ac:dyDescent="0.25">
      <c r="B130" s="1" t="str">
        <v>Anthony Beauvillier</v>
      </c>
      <c r="C130" s="13">
        <f>VLOOKUP(B130,Table1[[Player]:[FP/G]],7,FALSE)</f>
        <v>3.0082659888513299</v>
      </c>
      <c r="D130" s="14">
        <f>COUNT($C$6:C130)</f>
        <v>125</v>
      </c>
      <c r="E130" s="13">
        <f t="shared" si="1"/>
        <v>-1.62543978449497</v>
      </c>
    </row>
    <row r="131" spans="2:5" x14ac:dyDescent="0.25">
      <c r="B131" s="1" t="str">
        <v>Michael Carcone</v>
      </c>
      <c r="C131" s="13">
        <f>VLOOKUP(B131,Table1[[Player]:[FP/G]],7,FALSE)</f>
        <v>2.9912443379907998</v>
      </c>
      <c r="D131" s="14">
        <f>COUNT($C$6:C131)</f>
        <v>126</v>
      </c>
      <c r="E131" s="13">
        <f t="shared" si="1"/>
        <v>-1.6424614353555</v>
      </c>
    </row>
    <row r="132" spans="2:5" x14ac:dyDescent="0.25">
      <c r="B132" s="1" t="str">
        <v>Trent Frederic</v>
      </c>
      <c r="C132" s="13">
        <f>VLOOKUP(B132,Table1[[Player]:[FP/G]],7,FALSE)</f>
        <v>2.9831298453577699</v>
      </c>
      <c r="D132" s="14">
        <f>COUNT($C$6:C132)</f>
        <v>127</v>
      </c>
      <c r="E132" s="13">
        <f t="shared" si="1"/>
        <v>-1.6505759279885299</v>
      </c>
    </row>
    <row r="133" spans="2:5" x14ac:dyDescent="0.25">
      <c r="B133" s="1" t="str">
        <v>Josh Anderson</v>
      </c>
      <c r="C133" s="13">
        <f>VLOOKUP(B133,Table1[[Player]:[FP/G]],7,FALSE)</f>
        <v>2.98108588344193</v>
      </c>
      <c r="D133" s="14">
        <f>COUNT($C$6:C133)</f>
        <v>128</v>
      </c>
      <c r="E133" s="13">
        <f t="shared" si="1"/>
        <v>-1.6526198899043698</v>
      </c>
    </row>
    <row r="134" spans="2:5" x14ac:dyDescent="0.25">
      <c r="B134" s="1" t="str">
        <v>Jordan Martinook</v>
      </c>
      <c r="C134" s="13">
        <f>VLOOKUP(B134,Table1[[Player]:[FP/G]],7,FALSE)</f>
        <v>2.9682139891052701</v>
      </c>
      <c r="D134" s="14">
        <f>COUNT($C$6:C134)</f>
        <v>129</v>
      </c>
      <c r="E134" s="13">
        <f t="shared" si="1"/>
        <v>-1.6654917842410297</v>
      </c>
    </row>
    <row r="135" spans="2:5" x14ac:dyDescent="0.25">
      <c r="B135" s="1" t="str">
        <v>Eric Robinson</v>
      </c>
      <c r="C135" s="13">
        <f>VLOOKUP(B135,Table1[[Player]:[FP/G]],7,FALSE)</f>
        <v>2.9303273383649602</v>
      </c>
      <c r="D135" s="14">
        <f>COUNT($C$6:C135)</f>
        <v>130</v>
      </c>
      <c r="E135" s="13">
        <f t="shared" ref="E135:E198" si="2">C135-VLOOKUP($C$3,$B$6:$D$187,2,FALSE)</f>
        <v>-1.7033784349813397</v>
      </c>
    </row>
    <row r="136" spans="2:5" x14ac:dyDescent="0.25">
      <c r="B136" s="1" t="str">
        <v>Jordan Greenway</v>
      </c>
      <c r="C136" s="13">
        <f>VLOOKUP(B136,Table1[[Player]:[FP/G]],7,FALSE)</f>
        <v>2.90129069390568</v>
      </c>
      <c r="D136" s="14">
        <f>COUNT($C$6:C136)</f>
        <v>131</v>
      </c>
      <c r="E136" s="13">
        <f t="shared" si="2"/>
        <v>-1.7324150794406199</v>
      </c>
    </row>
    <row r="137" spans="2:5" x14ac:dyDescent="0.25">
      <c r="B137" s="1" t="str">
        <v>Parker Kelly</v>
      </c>
      <c r="C137" s="13">
        <f>VLOOKUP(B137,Table1[[Player]:[FP/G]],7,FALSE)</f>
        <v>2.8657029149838702</v>
      </c>
      <c r="D137" s="14">
        <f>COUNT($C$6:C137)</f>
        <v>132</v>
      </c>
      <c r="E137" s="13">
        <f t="shared" si="2"/>
        <v>-1.7680028583624297</v>
      </c>
    </row>
    <row r="138" spans="2:5" x14ac:dyDescent="0.25">
      <c r="B138" s="1" t="str">
        <v>Kevin Hayes</v>
      </c>
      <c r="C138" s="13">
        <f>VLOOKUP(B138,Table1[[Player]:[FP/G]],7,FALSE)</f>
        <v>2.8217865739927399</v>
      </c>
      <c r="D138" s="14">
        <f>COUNT($C$6:C138)</f>
        <v>133</v>
      </c>
      <c r="E138" s="13">
        <f t="shared" si="2"/>
        <v>-1.8119191993535599</v>
      </c>
    </row>
    <row r="139" spans="2:5" x14ac:dyDescent="0.25">
      <c r="B139" s="1" t="str">
        <v>Brandon Duhaime</v>
      </c>
      <c r="C139" s="13">
        <f>VLOOKUP(B139,Table1[[Player]:[FP/G]],7,FALSE)</f>
        <v>2.7701790868243101</v>
      </c>
      <c r="D139" s="14">
        <f>COUNT($C$6:C139)</f>
        <v>134</v>
      </c>
      <c r="E139" s="13">
        <f t="shared" si="2"/>
        <v>-1.8635266865219897</v>
      </c>
    </row>
    <row r="140" spans="2:5" x14ac:dyDescent="0.25">
      <c r="B140" s="1" t="str">
        <v>A.J. Greer</v>
      </c>
      <c r="C140" s="13">
        <f>VLOOKUP(B140,Table1[[Player]:[FP/G]],7,FALSE)</f>
        <v>2.7409204842660402</v>
      </c>
      <c r="D140" s="14">
        <f>COUNT($C$6:C140)</f>
        <v>135</v>
      </c>
      <c r="E140" s="13">
        <f t="shared" si="2"/>
        <v>-1.8927852890802597</v>
      </c>
    </row>
    <row r="141" spans="2:5" x14ac:dyDescent="0.25">
      <c r="B141" s="1" t="str">
        <v>James van Riemsdyk</v>
      </c>
      <c r="C141" s="13">
        <f>VLOOKUP(B141,Table1[[Player]:[FP/G]],7,FALSE)</f>
        <v>2.7391658623802999</v>
      </c>
      <c r="D141" s="14">
        <f>COUNT($C$6:C141)</f>
        <v>136</v>
      </c>
      <c r="E141" s="13">
        <f t="shared" si="2"/>
        <v>-1.8945399109659999</v>
      </c>
    </row>
    <row r="142" spans="2:5" x14ac:dyDescent="0.25">
      <c r="B142" s="1" t="str">
        <v>Michael Rasmussen</v>
      </c>
      <c r="C142" s="13">
        <f>VLOOKUP(B142,Table1[[Player]:[FP/G]],7,FALSE)</f>
        <v>2.72812697638921</v>
      </c>
      <c r="D142" s="14">
        <f>COUNT($C$6:C142)</f>
        <v>137</v>
      </c>
      <c r="E142" s="13">
        <f t="shared" si="2"/>
        <v>-1.9055787969570899</v>
      </c>
    </row>
    <row r="143" spans="2:5" x14ac:dyDescent="0.25">
      <c r="B143" s="1" t="str">
        <v>Jonatan Berggren</v>
      </c>
      <c r="C143" s="13">
        <f>VLOOKUP(B143,Table1[[Player]:[FP/G]],7,FALSE)</f>
        <v>2.72296343716171</v>
      </c>
      <c r="D143" s="14">
        <f>COUNT($C$6:C143)</f>
        <v>138</v>
      </c>
      <c r="E143" s="13">
        <f t="shared" si="2"/>
        <v>-1.9107423361845899</v>
      </c>
    </row>
    <row r="144" spans="2:5" x14ac:dyDescent="0.25">
      <c r="B144" s="1" t="str">
        <v>Teddy Blueger</v>
      </c>
      <c r="C144" s="13">
        <f>VLOOKUP(B144,Table1[[Player]:[FP/G]],7,FALSE)</f>
        <v>2.7225206504718602</v>
      </c>
      <c r="D144" s="14">
        <f>COUNT($C$6:C144)</f>
        <v>139</v>
      </c>
      <c r="E144" s="13">
        <f t="shared" si="2"/>
        <v>-1.9111851228744396</v>
      </c>
    </row>
    <row r="145" spans="2:5" x14ac:dyDescent="0.25">
      <c r="B145" s="1" t="str">
        <v>Mikey Eyssimont</v>
      </c>
      <c r="C145" s="13">
        <f>VLOOKUP(B145,Table1[[Player]:[FP/G]],7,FALSE)</f>
        <v>2.7126845974926099</v>
      </c>
      <c r="D145" s="14">
        <f>COUNT($C$6:C145)</f>
        <v>140</v>
      </c>
      <c r="E145" s="13">
        <f t="shared" si="2"/>
        <v>-1.9210211758536899</v>
      </c>
    </row>
    <row r="146" spans="2:5" x14ac:dyDescent="0.25">
      <c r="B146" s="1" t="str">
        <v>Pontus Holmberg</v>
      </c>
      <c r="C146" s="13">
        <f>VLOOKUP(B146,Table1[[Player]:[FP/G]],7,FALSE)</f>
        <v>2.6493327513098199</v>
      </c>
      <c r="D146" s="14">
        <f>COUNT($C$6:C146)</f>
        <v>141</v>
      </c>
      <c r="E146" s="13">
        <f t="shared" si="2"/>
        <v>-1.9843730220364799</v>
      </c>
    </row>
    <row r="147" spans="2:5" x14ac:dyDescent="0.25">
      <c r="B147" s="1" t="str">
        <v>Jack Drury</v>
      </c>
      <c r="C147" s="13">
        <f>VLOOKUP(B147,Table1[[Player]:[FP/G]],7,FALSE)</f>
        <v>2.6239664699748202</v>
      </c>
      <c r="D147" s="14">
        <f>COUNT($C$6:C147)</f>
        <v>142</v>
      </c>
      <c r="E147" s="13">
        <f t="shared" si="2"/>
        <v>-2.0097393033714797</v>
      </c>
    </row>
    <row r="148" spans="2:5" x14ac:dyDescent="0.25">
      <c r="B148" s="1" t="str">
        <v>Brandon Tanev</v>
      </c>
      <c r="C148" s="13">
        <f>VLOOKUP(B148,Table1[[Player]:[FP/G]],7,FALSE)</f>
        <v>2.6079148402170298</v>
      </c>
      <c r="D148" s="14">
        <f>COUNT($C$6:C148)</f>
        <v>143</v>
      </c>
      <c r="E148" s="13">
        <f t="shared" si="2"/>
        <v>-2.0257909331292701</v>
      </c>
    </row>
    <row r="149" spans="2:5" x14ac:dyDescent="0.25">
      <c r="B149" s="1" t="str">
        <v>Cole Smith</v>
      </c>
      <c r="C149" s="13">
        <f>VLOOKUP(B149,Table1[[Player]:[FP/G]],7,FALSE)</f>
        <v>2.6075024815918901</v>
      </c>
      <c r="D149" s="14">
        <f>COUNT($C$6:C149)</f>
        <v>144</v>
      </c>
      <c r="E149" s="13">
        <f t="shared" si="2"/>
        <v>-2.0262032917544097</v>
      </c>
    </row>
    <row r="150" spans="2:5" x14ac:dyDescent="0.25">
      <c r="B150" s="1" t="str">
        <v>Liam OBrien</v>
      </c>
      <c r="C150" s="13">
        <f>VLOOKUP(B150,Table1[[Player]:[FP/G]],7,FALSE)</f>
        <v>2.60320253385505</v>
      </c>
      <c r="D150" s="14">
        <f>COUNT($C$6:C150)</f>
        <v>145</v>
      </c>
      <c r="E150" s="13">
        <f t="shared" si="2"/>
        <v>-2.0305032394912499</v>
      </c>
    </row>
    <row r="151" spans="2:5" x14ac:dyDescent="0.25">
      <c r="B151" s="1" t="str">
        <v>Mathieu Joseph</v>
      </c>
      <c r="C151" s="13">
        <f>VLOOKUP(B151,Table1[[Player]:[FP/G]],7,FALSE)</f>
        <v>2.58438982481935</v>
      </c>
      <c r="D151" s="14">
        <f>COUNT($C$6:C151)</f>
        <v>146</v>
      </c>
      <c r="E151" s="13">
        <f t="shared" si="2"/>
        <v>-2.0493159485269499</v>
      </c>
    </row>
    <row r="152" spans="2:5" x14ac:dyDescent="0.25">
      <c r="B152" s="1" t="str">
        <v>Tanner Jeannot</v>
      </c>
      <c r="C152" s="13">
        <f>VLOOKUP(B152,Table1[[Player]:[FP/G]],7,FALSE)</f>
        <v>2.5732747884050702</v>
      </c>
      <c r="D152" s="14">
        <f>COUNT($C$6:C152)</f>
        <v>147</v>
      </c>
      <c r="E152" s="13">
        <f t="shared" si="2"/>
        <v>-2.0604309849412297</v>
      </c>
    </row>
    <row r="153" spans="2:5" x14ac:dyDescent="0.25">
      <c r="B153" s="1" t="str">
        <v>Nick Cousins</v>
      </c>
      <c r="C153" s="13">
        <f>VLOOKUP(B153,Table1[[Player]:[FP/G]],7,FALSE)</f>
        <v>2.5596072206293301</v>
      </c>
      <c r="D153" s="14">
        <f>COUNT($C$6:C153)</f>
        <v>148</v>
      </c>
      <c r="E153" s="13">
        <f t="shared" si="2"/>
        <v>-2.0740985527169697</v>
      </c>
    </row>
    <row r="154" spans="2:5" x14ac:dyDescent="0.25">
      <c r="B154" s="1" t="str">
        <v>Connor Dewar</v>
      </c>
      <c r="C154" s="13">
        <f>VLOOKUP(B154,Table1[[Player]:[FP/G]],7,FALSE)</f>
        <v>2.5260451006546001</v>
      </c>
      <c r="D154" s="14">
        <f>COUNT($C$6:C154)</f>
        <v>149</v>
      </c>
      <c r="E154" s="13">
        <f t="shared" si="2"/>
        <v>-2.1076606726916998</v>
      </c>
    </row>
    <row r="155" spans="2:5" x14ac:dyDescent="0.25">
      <c r="B155" s="1" t="str">
        <v>Jimmy Vesey</v>
      </c>
      <c r="C155" s="13">
        <f>VLOOKUP(B155,Table1[[Player]:[FP/G]],7,FALSE)</f>
        <v>2.4794279979820399</v>
      </c>
      <c r="D155" s="14">
        <f>COUNT($C$6:C155)</f>
        <v>150</v>
      </c>
      <c r="E155" s="13">
        <f t="shared" si="2"/>
        <v>-2.1542777753642599</v>
      </c>
    </row>
    <row r="156" spans="2:5" x14ac:dyDescent="0.25">
      <c r="B156" s="1" t="str">
        <v>Barclay Goodrow</v>
      </c>
      <c r="C156" s="13">
        <f>VLOOKUP(B156,Table1[[Player]:[FP/G]],7,FALSE)</f>
        <v>2.4774887929183098</v>
      </c>
      <c r="D156" s="14">
        <f>COUNT($C$6:C156)</f>
        <v>151</v>
      </c>
      <c r="E156" s="13">
        <f t="shared" si="2"/>
        <v>-2.15621698042799</v>
      </c>
    </row>
    <row r="157" spans="2:5" x14ac:dyDescent="0.25">
      <c r="B157" s="1" t="str">
        <v>William Carrier</v>
      </c>
      <c r="C157" s="13">
        <f>VLOOKUP(B157,Table1[[Player]:[FP/G]],7,FALSE)</f>
        <v>2.4739877931872001</v>
      </c>
      <c r="D157" s="14">
        <f>COUNT($C$6:C157)</f>
        <v>152</v>
      </c>
      <c r="E157" s="13">
        <f t="shared" si="2"/>
        <v>-2.1597179801590998</v>
      </c>
    </row>
    <row r="158" spans="2:5" x14ac:dyDescent="0.25">
      <c r="B158" s="1" t="str">
        <v>Marcus Johansson</v>
      </c>
      <c r="C158" s="13">
        <f>VLOOKUP(B158,Table1[[Player]:[FP/G]],7,FALSE)</f>
        <v>2.46458025023817</v>
      </c>
      <c r="D158" s="14">
        <f>COUNT($C$6:C158)</f>
        <v>153</v>
      </c>
      <c r="E158" s="13">
        <f t="shared" si="2"/>
        <v>-2.1691255231081299</v>
      </c>
    </row>
    <row r="159" spans="2:5" x14ac:dyDescent="0.25">
      <c r="B159" s="1" t="str">
        <v>Carl Grundstrom</v>
      </c>
      <c r="C159" s="13">
        <f>VLOOKUP(B159,Table1[[Player]:[FP/G]],7,FALSE)</f>
        <v>2.4532595160569102</v>
      </c>
      <c r="D159" s="14">
        <f>COUNT($C$6:C159)</f>
        <v>154</v>
      </c>
      <c r="E159" s="13">
        <f t="shared" si="2"/>
        <v>-2.1804462572893897</v>
      </c>
    </row>
    <row r="160" spans="2:5" x14ac:dyDescent="0.25">
      <c r="B160" s="1" t="str">
        <v>Yakov Trenin</v>
      </c>
      <c r="C160" s="13">
        <f>VLOOKUP(B160,Table1[[Player]:[FP/G]],7,FALSE)</f>
        <v>2.4512708564577399</v>
      </c>
      <c r="D160" s="14">
        <f>COUNT($C$6:C160)</f>
        <v>155</v>
      </c>
      <c r="E160" s="13">
        <f t="shared" si="2"/>
        <v>-2.18243491688856</v>
      </c>
    </row>
    <row r="161" spans="2:5" x14ac:dyDescent="0.25">
      <c r="B161" s="1" t="str">
        <v>Zemgus Girgensons</v>
      </c>
      <c r="C161" s="13">
        <f>VLOOKUP(B161,Table1[[Player]:[FP/G]],7,FALSE)</f>
        <v>2.43712317235605</v>
      </c>
      <c r="D161" s="14">
        <f>COUNT($C$6:C161)</f>
        <v>156</v>
      </c>
      <c r="E161" s="13">
        <f t="shared" si="2"/>
        <v>-2.1965826009902498</v>
      </c>
    </row>
    <row r="162" spans="2:5" x14ac:dyDescent="0.25">
      <c r="B162" s="1" t="str">
        <v>Tanner Pearson</v>
      </c>
      <c r="C162" s="13">
        <f>VLOOKUP(B162,Table1[[Player]:[FP/G]],7,FALSE)</f>
        <v>2.4168233958405798</v>
      </c>
      <c r="D162" s="14">
        <f>COUNT($C$6:C162)</f>
        <v>157</v>
      </c>
      <c r="E162" s="13">
        <f t="shared" si="2"/>
        <v>-2.21688237750572</v>
      </c>
    </row>
    <row r="163" spans="2:5" x14ac:dyDescent="0.25">
      <c r="B163" s="1" t="str">
        <v>Calle Jarnkrok</v>
      </c>
      <c r="C163" s="13">
        <f>VLOOKUP(B163,Table1[[Player]:[FP/G]],7,FALSE)</f>
        <v>2.394019917429</v>
      </c>
      <c r="D163" s="14">
        <f>COUNT($C$6:C163)</f>
        <v>158</v>
      </c>
      <c r="E163" s="13">
        <f t="shared" si="2"/>
        <v>-2.2396858559172999</v>
      </c>
    </row>
    <row r="164" spans="2:5" x14ac:dyDescent="0.25">
      <c r="B164" s="1" t="str">
        <v>Ryan Lomberg</v>
      </c>
      <c r="C164" s="13">
        <f>VLOOKUP(B164,Table1[[Player]:[FP/G]],7,FALSE)</f>
        <v>2.3807375010227698</v>
      </c>
      <c r="D164" s="14">
        <f>COUNT($C$6:C164)</f>
        <v>159</v>
      </c>
      <c r="E164" s="13">
        <f t="shared" si="2"/>
        <v>-2.25296827232353</v>
      </c>
    </row>
    <row r="165" spans="2:5" x14ac:dyDescent="0.25">
      <c r="B165" s="1" t="str">
        <v>Alexei Toropchenko</v>
      </c>
      <c r="C165" s="13">
        <f>VLOOKUP(B165,Table1[[Player]:[FP/G]],7,FALSE)</f>
        <v>2.3745236829926499</v>
      </c>
      <c r="D165" s="14">
        <f>COUNT($C$6:C165)</f>
        <v>160</v>
      </c>
      <c r="E165" s="13">
        <f t="shared" si="2"/>
        <v>-2.2591820903536499</v>
      </c>
    </row>
    <row r="166" spans="2:5" x14ac:dyDescent="0.25">
      <c r="B166" s="1" t="str">
        <v>Mark Jankowski</v>
      </c>
      <c r="C166" s="13">
        <f>VLOOKUP(B166,Table1[[Player]:[FP/G]],7,FALSE)</f>
        <v>2.3662291646250599</v>
      </c>
      <c r="D166" s="14">
        <f>COUNT($C$6:C166)</f>
        <v>161</v>
      </c>
      <c r="E166" s="13">
        <f t="shared" si="2"/>
        <v>-2.2674766087212399</v>
      </c>
    </row>
    <row r="167" spans="2:5" x14ac:dyDescent="0.25">
      <c r="B167" s="1" t="str">
        <v>Ilya Mikheyev</v>
      </c>
      <c r="C167" s="13">
        <f>VLOOKUP(B167,Table1[[Player]:[FP/G]],7,FALSE)</f>
        <v>2.3607754158217702</v>
      </c>
      <c r="D167" s="14">
        <f>COUNT($C$6:C167)</f>
        <v>162</v>
      </c>
      <c r="E167" s="13">
        <f t="shared" si="2"/>
        <v>-2.2729303575245297</v>
      </c>
    </row>
    <row r="168" spans="2:5" x14ac:dyDescent="0.25">
      <c r="B168" s="1" t="str">
        <v>Miles Wood</v>
      </c>
      <c r="C168" s="13">
        <f>VLOOKUP(B168,Table1[[Player]:[FP/G]],7,FALSE)</f>
        <v>2.3540593275405199</v>
      </c>
      <c r="D168" s="14">
        <f>COUNT($C$6:C168)</f>
        <v>163</v>
      </c>
      <c r="E168" s="13">
        <f t="shared" si="2"/>
        <v>-2.2796464458057799</v>
      </c>
    </row>
    <row r="169" spans="2:5" x14ac:dyDescent="0.25">
      <c r="B169" s="1" t="str">
        <v>Beck Malenstyn</v>
      </c>
      <c r="C169" s="13">
        <f>VLOOKUP(B169,Table1[[Player]:[FP/G]],7,FALSE)</f>
        <v>2.3538522037948</v>
      </c>
      <c r="D169" s="14">
        <f>COUNT($C$6:C169)</f>
        <v>164</v>
      </c>
      <c r="E169" s="13">
        <f t="shared" si="2"/>
        <v>-2.2798535695514999</v>
      </c>
    </row>
    <row r="170" spans="2:5" x14ac:dyDescent="0.25">
      <c r="B170" s="1" t="str">
        <v>Tyler Motte</v>
      </c>
      <c r="C170" s="13">
        <f>VLOOKUP(B170,Table1[[Player]:[FP/G]],7,FALSE)</f>
        <v>2.35328018016902</v>
      </c>
      <c r="D170" s="14">
        <f>COUNT($C$6:C170)</f>
        <v>165</v>
      </c>
      <c r="E170" s="13">
        <f t="shared" si="2"/>
        <v>-2.2804255931772799</v>
      </c>
    </row>
    <row r="171" spans="2:5" x14ac:dyDescent="0.25">
      <c r="B171" s="1" t="str">
        <v>Casey Cizikas</v>
      </c>
      <c r="C171" s="13">
        <f>VLOOKUP(B171,Table1[[Player]:[FP/G]],7,FALSE)</f>
        <v>2.3218373225906599</v>
      </c>
      <c r="D171" s="14">
        <f>COUNT($C$6:C171)</f>
        <v>166</v>
      </c>
      <c r="E171" s="13">
        <f t="shared" si="2"/>
        <v>-2.31186845075564</v>
      </c>
    </row>
    <row r="172" spans="2:5" x14ac:dyDescent="0.25">
      <c r="B172" s="1" t="str">
        <v>Juuso Parssinen</v>
      </c>
      <c r="C172" s="13">
        <f>VLOOKUP(B172,Table1[[Player]:[FP/G]],7,FALSE)</f>
        <v>2.22411051927853</v>
      </c>
      <c r="D172" s="14">
        <f>COUNT($C$6:C172)</f>
        <v>167</v>
      </c>
      <c r="E172" s="13">
        <f t="shared" si="2"/>
        <v>-2.4095952540677699</v>
      </c>
    </row>
    <row r="173" spans="2:5" x14ac:dyDescent="0.25">
      <c r="B173" s="1" t="str">
        <v>Corey Perry</v>
      </c>
      <c r="C173" s="13">
        <f>VLOOKUP(B173,Table1[[Player]:[FP/G]],7,FALSE)</f>
        <v>2.1365176162113002</v>
      </c>
      <c r="D173" s="14">
        <f>COUNT($C$6:C173)</f>
        <v>168</v>
      </c>
      <c r="E173" s="13">
        <f t="shared" si="2"/>
        <v>-2.4971881571349996</v>
      </c>
    </row>
    <row r="174" spans="2:5" x14ac:dyDescent="0.25">
      <c r="B174" s="1" t="str">
        <v>Jakub Vrana</v>
      </c>
      <c r="C174" s="13">
        <f>VLOOKUP(B174,Table1[[Player]:[FP/G]],7,FALSE)</f>
        <v>2.1276191292278201</v>
      </c>
      <c r="D174" s="14">
        <f>COUNT($C$6:C174)</f>
        <v>169</v>
      </c>
      <c r="E174" s="13">
        <f t="shared" si="2"/>
        <v>-2.5060866441184797</v>
      </c>
    </row>
    <row r="175" spans="2:5" x14ac:dyDescent="0.25">
      <c r="B175" s="1" t="str">
        <v>Morgan Barron</v>
      </c>
      <c r="C175" s="13">
        <f>VLOOKUP(B175,Table1[[Player]:[FP/G]],7,FALSE)</f>
        <v>2.1216769948002301</v>
      </c>
      <c r="D175" s="14">
        <f>COUNT($C$6:C175)</f>
        <v>170</v>
      </c>
      <c r="E175" s="13">
        <f t="shared" si="2"/>
        <v>-2.5120287785460698</v>
      </c>
    </row>
    <row r="176" spans="2:5" x14ac:dyDescent="0.25">
      <c r="B176" s="1" t="str">
        <v>Nathan Walker</v>
      </c>
      <c r="C176" s="13">
        <f>VLOOKUP(B176,Table1[[Player]:[FP/G]],7,FALSE)</f>
        <v>2.1038067643073699</v>
      </c>
      <c r="D176" s="14">
        <f>COUNT($C$6:C176)</f>
        <v>171</v>
      </c>
      <c r="E176" s="13">
        <f t="shared" si="2"/>
        <v>-2.5298990090389299</v>
      </c>
    </row>
    <row r="177" spans="2:5" x14ac:dyDescent="0.25">
      <c r="B177" s="1" t="str">
        <v>Mattias Janmark</v>
      </c>
      <c r="C177" s="13">
        <f>VLOOKUP(B177,Table1[[Player]:[FP/G]],7,FALSE)</f>
        <v>2.0377073623258402</v>
      </c>
      <c r="D177" s="14">
        <f>COUNT($C$6:C177)</f>
        <v>172</v>
      </c>
      <c r="E177" s="13">
        <f t="shared" si="2"/>
        <v>-2.5959984110204597</v>
      </c>
    </row>
    <row r="178" spans="2:5" x14ac:dyDescent="0.25">
      <c r="B178" s="1" t="str">
        <v>Zachary Aston-Reese</v>
      </c>
      <c r="C178" s="13">
        <f>VLOOKUP(B178,Table1[[Player]:[FP/G]],7,FALSE)</f>
        <v>2.0020810310776098</v>
      </c>
      <c r="D178" s="14">
        <f>COUNT($C$6:C178)</f>
        <v>173</v>
      </c>
      <c r="E178" s="13">
        <f t="shared" si="2"/>
        <v>-2.63162474226869</v>
      </c>
    </row>
    <row r="179" spans="2:5" x14ac:dyDescent="0.25">
      <c r="B179" s="1" t="str">
        <v>Ross Johnston</v>
      </c>
      <c r="C179" s="13">
        <f>VLOOKUP(B179,Table1[[Player]:[FP/G]],7,FALSE)</f>
        <v>1.99502620563794</v>
      </c>
      <c r="D179" s="14">
        <f>COUNT($C$6:C179)</f>
        <v>174</v>
      </c>
      <c r="E179" s="13">
        <f t="shared" si="2"/>
        <v>-2.6386795677083601</v>
      </c>
    </row>
    <row r="180" spans="2:5" x14ac:dyDescent="0.25">
      <c r="B180" s="1" t="str">
        <v>Michael Pezzetta</v>
      </c>
      <c r="C180" s="13">
        <f>VLOOKUP(B180,Table1[[Player]:[FP/G]],7,FALSE)</f>
        <v>1.9845152859488799</v>
      </c>
      <c r="D180" s="14">
        <f>COUNT($C$6:C180)</f>
        <v>175</v>
      </c>
      <c r="E180" s="13">
        <f t="shared" si="2"/>
        <v>-2.6491904873974201</v>
      </c>
    </row>
    <row r="181" spans="2:5" x14ac:dyDescent="0.25">
      <c r="B181" s="1" t="str">
        <v>Max Pacioretty</v>
      </c>
      <c r="C181" s="13">
        <f>VLOOKUP(B181,Table1[[Player]:[FP/G]],7,FALSE)</f>
        <v>1.9312205537874201</v>
      </c>
      <c r="D181" s="14">
        <f>COUNT($C$6:C181)</f>
        <v>176</v>
      </c>
      <c r="E181" s="13">
        <f t="shared" si="2"/>
        <v>-2.7024852195588798</v>
      </c>
    </row>
    <row r="182" spans="2:5" x14ac:dyDescent="0.25">
      <c r="B182" s="1" t="str">
        <v>Nolan Foote</v>
      </c>
      <c r="C182" s="13">
        <f>VLOOKUP(B182,Table1[[Player]:[FP/G]],7,FALSE)</f>
        <v>1.9221834051279201</v>
      </c>
      <c r="D182" s="14">
        <f>COUNT($C$6:C182)</f>
        <v>177</v>
      </c>
      <c r="E182" s="13">
        <f t="shared" si="2"/>
        <v>-2.7115223682183798</v>
      </c>
    </row>
    <row r="183" spans="2:5" x14ac:dyDescent="0.25">
      <c r="B183" s="1" t="str">
        <v>Pierre Engvall</v>
      </c>
      <c r="C183" s="13">
        <f>VLOOKUP(B183,Table1[[Player]:[FP/G]],7,FALSE)</f>
        <v>1.8111843784135</v>
      </c>
      <c r="D183" s="14">
        <f>COUNT($C$6:C183)</f>
        <v>178</v>
      </c>
      <c r="E183" s="13">
        <f t="shared" si="2"/>
        <v>-2.8225213949327999</v>
      </c>
    </row>
    <row r="184" spans="2:5" x14ac:dyDescent="0.25">
      <c r="B184" s="1" t="str">
        <v>Samuel Poulin</v>
      </c>
      <c r="C184" s="13">
        <f>VLOOKUP(B184,Table1[[Player]:[FP/G]],7,FALSE)</f>
        <v>1.81085758184152</v>
      </c>
      <c r="D184" s="14">
        <f>COUNT($C$6:C184)</f>
        <v>179</v>
      </c>
      <c r="E184" s="13">
        <f t="shared" si="2"/>
        <v>-2.8228481915047796</v>
      </c>
    </row>
    <row r="185" spans="2:5" x14ac:dyDescent="0.25">
      <c r="B185" s="1" t="str">
        <v>Colin Blackwell</v>
      </c>
      <c r="C185" s="13">
        <f>VLOOKUP(B185,Table1[[Player]:[FP/G]],7,FALSE)</f>
        <v>1.7843059295495001</v>
      </c>
      <c r="D185" s="14">
        <f>COUNT($C$6:C185)</f>
        <v>180</v>
      </c>
      <c r="E185" s="13">
        <f t="shared" si="2"/>
        <v>-2.8493998437967996</v>
      </c>
    </row>
    <row r="186" spans="2:5" x14ac:dyDescent="0.25">
      <c r="B186" s="1" t="str">
        <v>Joel Kiviranta</v>
      </c>
      <c r="C186" s="13">
        <f>VLOOKUP(B186,Table1[[Player]:[FP/G]],7,FALSE)</f>
        <v>1.7723741183822601</v>
      </c>
      <c r="D186" s="14">
        <f>COUNT($C$6:C186)</f>
        <v>181</v>
      </c>
      <c r="E186" s="13">
        <f t="shared" si="2"/>
        <v>-2.8613316549640397</v>
      </c>
    </row>
    <row r="187" spans="2:5" x14ac:dyDescent="0.25">
      <c r="B187" s="1" t="str">
        <v>Sonny Milano</v>
      </c>
      <c r="C187" s="13">
        <f>VLOOKUP(B187,Table1[[Player]:[FP/G]],7,FALSE)</f>
        <v>1.7545578764716601</v>
      </c>
      <c r="D187" s="14">
        <f>COUNT($C$6:C187)</f>
        <v>182</v>
      </c>
      <c r="E187" s="13">
        <f t="shared" si="2"/>
        <v>-2.87914789687464</v>
      </c>
    </row>
    <row r="188" spans="2:5" x14ac:dyDescent="0.25">
      <c r="B188" s="1" t="str">
        <v>Nicolas Deslauriers</v>
      </c>
      <c r="C188" s="13">
        <f>VLOOKUP(B188,Table1[[Player]:[FP/G]],7,FALSE)</f>
        <v>1.67088204237051</v>
      </c>
      <c r="D188" s="14">
        <f>COUNT($C$6:C188)</f>
        <v>183</v>
      </c>
      <c r="E188" s="13">
        <f t="shared" si="2"/>
        <v>-2.9628237309757899</v>
      </c>
    </row>
    <row r="189" spans="2:5" x14ac:dyDescent="0.25">
      <c r="B189" s="1" t="str">
        <v>Jonah Gadjovich</v>
      </c>
      <c r="C189" s="13">
        <f>VLOOKUP(B189,Table1[[Player]:[FP/G]],7,FALSE)</f>
        <v>1.6658125120259599</v>
      </c>
      <c r="D189" s="14">
        <f>COUNT($C$6:C189)</f>
        <v>184</v>
      </c>
      <c r="E189" s="13">
        <f t="shared" si="2"/>
        <v>-2.9678932613203397</v>
      </c>
    </row>
    <row r="190" spans="2:5" x14ac:dyDescent="0.25">
      <c r="B190" s="1" t="str">
        <v>Olle Lycksell</v>
      </c>
      <c r="C190" s="13">
        <f>VLOOKUP(B190,Table1[[Player]:[FP/G]],7,FALSE)</f>
        <v>1.6450140387159999</v>
      </c>
      <c r="D190" s="14">
        <f>COUNT($C$6:C190)</f>
        <v>185</v>
      </c>
      <c r="E190" s="13">
        <f t="shared" si="2"/>
        <v>-2.9886917346302999</v>
      </c>
    </row>
    <row r="191" spans="2:5" x14ac:dyDescent="0.25">
      <c r="B191" s="1" t="str">
        <v>Andreas Athanasiou</v>
      </c>
      <c r="C191" s="13">
        <f>VLOOKUP(B191,Table1[[Player]:[FP/G]],7,FALSE)</f>
        <v>1.6434489379577299</v>
      </c>
      <c r="D191" s="14">
        <f>COUNT($C$6:C191)</f>
        <v>186</v>
      </c>
      <c r="E191" s="13">
        <f t="shared" si="2"/>
        <v>-2.9902568353885699</v>
      </c>
    </row>
    <row r="192" spans="2:5" x14ac:dyDescent="0.25">
      <c r="B192" s="1" t="str">
        <v>Grigori Denisenko</v>
      </c>
      <c r="C192" s="13">
        <f>VLOOKUP(B192,Table1[[Player]:[FP/G]],7,FALSE)</f>
        <v>1.61587967716874</v>
      </c>
      <c r="D192" s="14">
        <f>COUNT($C$6:C192)</f>
        <v>187</v>
      </c>
      <c r="E192" s="13">
        <f t="shared" si="2"/>
        <v>-3.0178260961775596</v>
      </c>
    </row>
    <row r="193" spans="2:5" x14ac:dyDescent="0.25">
      <c r="B193" s="1" t="str">
        <v>Max Jones</v>
      </c>
      <c r="C193" s="13">
        <f>VLOOKUP(B193,Table1[[Player]:[FP/G]],7,FALSE)</f>
        <v>1.6055565837690899</v>
      </c>
      <c r="D193" s="14">
        <f>COUNT($C$6:C193)</f>
        <v>188</v>
      </c>
      <c r="E193" s="13">
        <f t="shared" si="2"/>
        <v>-3.0281491895772099</v>
      </c>
    </row>
    <row r="194" spans="2:5" x14ac:dyDescent="0.25">
      <c r="B194" s="1" t="str">
        <v>Rafael Harvey-Pinard</v>
      </c>
      <c r="C194" s="13">
        <f>VLOOKUP(B194,Table1[[Player]:[FP/G]],7,FALSE)</f>
        <v>1.58106715941561</v>
      </c>
      <c r="D194" s="14">
        <f>COUNT($C$6:C194)</f>
        <v>189</v>
      </c>
      <c r="E194" s="13">
        <f t="shared" si="2"/>
        <v>-3.0526386139306898</v>
      </c>
    </row>
    <row r="195" spans="2:5" x14ac:dyDescent="0.25">
      <c r="B195" s="1" t="str">
        <v>Boko Imama</v>
      </c>
      <c r="C195" s="13">
        <f>VLOOKUP(B195,Table1[[Player]:[FP/G]],7,FALSE)</f>
        <v>1.5526726047414701</v>
      </c>
      <c r="D195" s="14">
        <f>COUNT($C$6:C195)</f>
        <v>190</v>
      </c>
      <c r="E195" s="13">
        <f t="shared" si="2"/>
        <v>-3.0810331686048298</v>
      </c>
    </row>
    <row r="196" spans="2:5" x14ac:dyDescent="0.25">
      <c r="B196" s="1" t="str">
        <v>Conor Sheary</v>
      </c>
      <c r="C196" s="13">
        <f>VLOOKUP(B196,Table1[[Player]:[FP/G]],7,FALSE)</f>
        <v>1.5496189298827201</v>
      </c>
      <c r="D196" s="14">
        <f>COUNT($C$6:C196)</f>
        <v>191</v>
      </c>
      <c r="E196" s="13">
        <f t="shared" si="2"/>
        <v>-3.08408684346358</v>
      </c>
    </row>
    <row r="197" spans="2:5" x14ac:dyDescent="0.25">
      <c r="B197" s="1" t="str">
        <v>Jakub Lauko</v>
      </c>
      <c r="C197" s="13">
        <f>VLOOKUP(B197,Table1[[Player]:[FP/G]],7,FALSE)</f>
        <v>1.50890977214524</v>
      </c>
      <c r="D197" s="14">
        <f>COUNT($C$6:C197)</f>
        <v>192</v>
      </c>
      <c r="E197" s="13">
        <f t="shared" si="2"/>
        <v>-3.1247960012010596</v>
      </c>
    </row>
    <row r="198" spans="2:5" x14ac:dyDescent="0.25">
      <c r="B198" s="1" t="str">
        <v>Steven Lorentz</v>
      </c>
      <c r="C198" s="13">
        <f>VLOOKUP(B198,Table1[[Player]:[FP/G]],7,FALSE)</f>
        <v>1.4943841119185599</v>
      </c>
      <c r="D198" s="14">
        <f>COUNT($C$6:C198)</f>
        <v>193</v>
      </c>
      <c r="E198" s="13">
        <f t="shared" si="2"/>
        <v>-3.1393216614277399</v>
      </c>
    </row>
    <row r="199" spans="2:5" x14ac:dyDescent="0.25">
      <c r="B199" s="1" t="str">
        <v>Jansen Harkins</v>
      </c>
      <c r="C199" s="13">
        <f>VLOOKUP(B199,Table1[[Player]:[FP/G]],7,FALSE)</f>
        <v>1.4864221735269201</v>
      </c>
      <c r="D199" s="14">
        <f>COUNT($C$6:C199)</f>
        <v>194</v>
      </c>
      <c r="E199" s="13">
        <f t="shared" ref="E199:E217" si="3">C199-VLOOKUP($C$3,$B$6:$D$187,2,FALSE)</f>
        <v>-3.1472835998193798</v>
      </c>
    </row>
    <row r="200" spans="2:5" x14ac:dyDescent="0.25">
      <c r="B200" s="1" t="str">
        <v>Mikael Pyyhtia</v>
      </c>
      <c r="C200" s="13">
        <f>VLOOKUP(B200,Table1[[Player]:[FP/G]],7,FALSE)</f>
        <v>1.4687227466008399</v>
      </c>
      <c r="D200" s="14">
        <f>COUNT($C$6:C200)</f>
        <v>195</v>
      </c>
      <c r="E200" s="13">
        <f t="shared" si="3"/>
        <v>-3.1649830267454599</v>
      </c>
    </row>
    <row r="201" spans="2:5" x14ac:dyDescent="0.25">
      <c r="B201" s="1" t="str">
        <v>Cole Koepke</v>
      </c>
      <c r="C201" s="13">
        <f>VLOOKUP(B201,Table1[[Player]:[FP/G]],7,FALSE)</f>
        <v>1.41529928842919</v>
      </c>
      <c r="D201" s="14">
        <f>COUNT($C$6:C201)</f>
        <v>196</v>
      </c>
      <c r="E201" s="13">
        <f t="shared" si="3"/>
        <v>-3.2184064849171099</v>
      </c>
    </row>
    <row r="202" spans="2:5" x14ac:dyDescent="0.25">
      <c r="B202" s="1" t="str">
        <v>Austin Watson</v>
      </c>
      <c r="C202" s="13">
        <f>VLOOKUP(B202,Table1[[Player]:[FP/G]],7,FALSE)</f>
        <v>1.4108643112683401</v>
      </c>
      <c r="D202" s="14">
        <f>COUNT($C$6:C202)</f>
        <v>197</v>
      </c>
      <c r="E202" s="13">
        <f t="shared" si="3"/>
        <v>-3.2228414620779597</v>
      </c>
    </row>
    <row r="203" spans="2:5" x14ac:dyDescent="0.25">
      <c r="B203" s="1" t="str">
        <v>Liam Foudy</v>
      </c>
      <c r="C203" s="13">
        <f>VLOOKUP(B203,Table1[[Player]:[FP/G]],7,FALSE)</f>
        <v>1.3970846940212001</v>
      </c>
      <c r="D203" s="14">
        <f>COUNT($C$6:C203)</f>
        <v>198</v>
      </c>
      <c r="E203" s="13">
        <f t="shared" si="3"/>
        <v>-3.2366210793250998</v>
      </c>
    </row>
    <row r="204" spans="2:5" x14ac:dyDescent="0.25">
      <c r="B204" s="1" t="str">
        <v>Dryden Hunt</v>
      </c>
      <c r="C204" s="13">
        <f>VLOOKUP(B204,Table1[[Player]:[FP/G]],7,FALSE)</f>
        <v>1.3418998668577899</v>
      </c>
      <c r="D204" s="14">
        <f>COUNT($C$6:C204)</f>
        <v>199</v>
      </c>
      <c r="E204" s="13">
        <f t="shared" si="3"/>
        <v>-3.2918059064885101</v>
      </c>
    </row>
    <row r="205" spans="2:5" x14ac:dyDescent="0.25">
      <c r="B205" s="1" t="str">
        <v>Kurtis MacDermid</v>
      </c>
      <c r="C205" s="13">
        <f>VLOOKUP(B205,Table1[[Player]:[FP/G]],7,FALSE)</f>
        <v>1.3240165381678399</v>
      </c>
      <c r="D205" s="14">
        <f>COUNT($C$6:C205)</f>
        <v>200</v>
      </c>
      <c r="E205" s="13">
        <f t="shared" si="3"/>
        <v>-3.3096892351784599</v>
      </c>
    </row>
    <row r="206" spans="2:5" x14ac:dyDescent="0.25">
      <c r="B206" s="1" t="str">
        <v>Riley Tufte</v>
      </c>
      <c r="C206" s="13">
        <f>VLOOKUP(B206,Table1[[Player]:[FP/G]],7,FALSE)</f>
        <v>1.32236096876436</v>
      </c>
      <c r="D206" s="14">
        <f>COUNT($C$6:C206)</f>
        <v>201</v>
      </c>
      <c r="E206" s="13">
        <f t="shared" si="3"/>
        <v>-3.3113448045819398</v>
      </c>
    </row>
    <row r="207" spans="2:5" x14ac:dyDescent="0.25">
      <c r="B207" s="1" t="str">
        <v>Jaret Anderson-Dolan</v>
      </c>
      <c r="C207" s="13">
        <f>VLOOKUP(B207,Table1[[Player]:[FP/G]],7,FALSE)</f>
        <v>1.3124190331611401</v>
      </c>
      <c r="D207" s="14">
        <f>COUNT($C$6:C207)</f>
        <v>202</v>
      </c>
      <c r="E207" s="13">
        <f t="shared" si="3"/>
        <v>-3.32128674018516</v>
      </c>
    </row>
    <row r="208" spans="2:5" x14ac:dyDescent="0.25">
      <c r="B208" s="1" t="str">
        <v>Matt Nieto</v>
      </c>
      <c r="C208" s="13">
        <f>VLOOKUP(B208,Table1[[Player]:[FP/G]],7,FALSE)</f>
        <v>1.2776204845910799</v>
      </c>
      <c r="D208" s="14">
        <f>COUNT($C$6:C208)</f>
        <v>203</v>
      </c>
      <c r="E208" s="13">
        <f t="shared" si="3"/>
        <v>-3.3560852887552199</v>
      </c>
    </row>
    <row r="209" spans="2:5" x14ac:dyDescent="0.25">
      <c r="B209" s="1" t="str">
        <v>Givani Smith</v>
      </c>
      <c r="C209" s="13">
        <f>VLOOKUP(B209,Table1[[Player]:[FP/G]],7,FALSE)</f>
        <v>1.27004868050884</v>
      </c>
      <c r="D209" s="14">
        <f>COUNT($C$6:C209)</f>
        <v>204</v>
      </c>
      <c r="E209" s="13">
        <f t="shared" si="3"/>
        <v>-3.3636570928374598</v>
      </c>
    </row>
    <row r="210" spans="2:5" x14ac:dyDescent="0.25">
      <c r="B210" s="1" t="str">
        <v>Jake Lucchini</v>
      </c>
      <c r="C210" s="13">
        <f>VLOOKUP(B210,Table1[[Player]:[FP/G]],7,FALSE)</f>
        <v>1.2438886505018101</v>
      </c>
      <c r="D210" s="14">
        <f>COUNT($C$6:C210)</f>
        <v>205</v>
      </c>
      <c r="E210" s="13">
        <f t="shared" si="3"/>
        <v>-3.38981712284449</v>
      </c>
    </row>
    <row r="211" spans="2:5" x14ac:dyDescent="0.25">
      <c r="B211" s="1" t="str">
        <v>Alex Steeves</v>
      </c>
      <c r="C211" s="13">
        <f>VLOOKUP(B211,Table1[[Player]:[FP/G]],7,FALSE)</f>
        <v>1.2422494769872301</v>
      </c>
      <c r="D211" s="14">
        <f>COUNT($C$6:C211)</f>
        <v>206</v>
      </c>
      <c r="E211" s="13">
        <f t="shared" si="3"/>
        <v>-3.3914562963590695</v>
      </c>
    </row>
    <row r="212" spans="2:5" x14ac:dyDescent="0.25">
      <c r="B212" s="1" t="str">
        <v>Matthew Highmore</v>
      </c>
      <c r="C212" s="13">
        <f>VLOOKUP(B212,Table1[[Player]:[FP/G]],7,FALSE)</f>
        <v>1.1384648898251799</v>
      </c>
      <c r="D212" s="14">
        <f>COUNT($C$6:C212)</f>
        <v>207</v>
      </c>
      <c r="E212" s="13">
        <f t="shared" si="3"/>
        <v>-3.4952408835211202</v>
      </c>
    </row>
    <row r="213" spans="2:5" x14ac:dyDescent="0.25">
      <c r="B213" s="1" t="str">
        <v>Phillip Di Giuseppe</v>
      </c>
      <c r="C213" s="13">
        <f>VLOOKUP(B213,Table1[[Player]:[FP/G]],7,FALSE)</f>
        <v>1.07562052851778</v>
      </c>
      <c r="D213" s="14">
        <f>COUNT($C$6:C213)</f>
        <v>208</v>
      </c>
      <c r="E213" s="13">
        <f t="shared" si="3"/>
        <v>-3.5580852448285198</v>
      </c>
    </row>
    <row r="214" spans="2:5" x14ac:dyDescent="0.25">
      <c r="B214" s="1" t="str">
        <v>Ben Meyers</v>
      </c>
      <c r="C214" s="13">
        <f>VLOOKUP(B214,Table1[[Player]:[FP/G]],7,FALSE)</f>
        <v>1.05880823444334</v>
      </c>
      <c r="D214" s="14">
        <f>COUNT($C$6:C214)</f>
        <v>209</v>
      </c>
      <c r="E214" s="13">
        <f t="shared" si="3"/>
        <v>-3.5748975389029596</v>
      </c>
    </row>
    <row r="215" spans="2:5" x14ac:dyDescent="0.25">
      <c r="B215" s="1" t="str">
        <v>Nikita Nesterenko</v>
      </c>
      <c r="C215" s="13">
        <f>VLOOKUP(B215,Table1[[Player]:[FP/G]],7,FALSE)</f>
        <v>1.0444321976684701</v>
      </c>
      <c r="D215" s="14">
        <f>COUNT($C$6:C215)</f>
        <v>210</v>
      </c>
      <c r="E215" s="13">
        <f t="shared" si="3"/>
        <v>-3.5892735756778298</v>
      </c>
    </row>
    <row r="216" spans="2:5" x14ac:dyDescent="0.25">
      <c r="B216" s="1" t="str">
        <v>Devin Shore</v>
      </c>
      <c r="C216" s="13">
        <f>VLOOKUP(B216,Table1[[Player]:[FP/G]],7,FALSE)</f>
        <v>0.86393912978727605</v>
      </c>
      <c r="D216" s="14">
        <f>COUNT($C$6:C216)</f>
        <v>211</v>
      </c>
      <c r="E216" s="13">
        <f t="shared" si="3"/>
        <v>-3.7697666435590236</v>
      </c>
    </row>
    <row r="217" spans="2:5" x14ac:dyDescent="0.25">
      <c r="B217" s="1" t="str">
        <v>Lucas Condotta</v>
      </c>
      <c r="C217" s="13">
        <f>VLOOKUP(B217,Table1[[Player]:[FP/G]],7,FALSE)</f>
        <v>0.86044070770108105</v>
      </c>
      <c r="D217" s="14">
        <f>COUNT($C$6:C217)</f>
        <v>212</v>
      </c>
      <c r="E217" s="13">
        <f t="shared" si="3"/>
        <v>-3.7732650656452189</v>
      </c>
    </row>
    <row r="218" spans="2:5" x14ac:dyDescent="0.25">
      <c r="B218" s="1" t="str">
        <v>Joona Koppanen</v>
      </c>
      <c r="C218" s="13">
        <f>VLOOKUP(B218,Table1[[Player]:[FP/G]],7,FALSE)</f>
        <v>0.82911252254547496</v>
      </c>
      <c r="D218" s="14">
        <f>COUNT($C$6:C218)</f>
        <v>213</v>
      </c>
      <c r="E218" s="13">
        <f t="shared" ref="E218" si="4">C218-VLOOKUP($C$3,$B$6:$D$187,2,FALSE)</f>
        <v>-3.8045932508008251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054D-3ED0-4E50-90E6-EC347CB7FF97}">
  <dimension ref="B2:E203"/>
  <sheetViews>
    <sheetView topLeftCell="A153" workbookViewId="0">
      <selection activeCell="D205" sqref="D205"/>
    </sheetView>
  </sheetViews>
  <sheetFormatPr defaultRowHeight="15" x14ac:dyDescent="0.25"/>
  <cols>
    <col min="1" max="1" width="9.140625" style="1"/>
    <col min="2" max="2" width="20.42578125" style="1" bestFit="1" customWidth="1"/>
    <col min="3" max="16384" width="9.140625" style="1"/>
  </cols>
  <sheetData>
    <row r="2" spans="2:5" x14ac:dyDescent="0.25">
      <c r="B2" s="1" t="s">
        <v>1650</v>
      </c>
      <c r="C2" s="2">
        <f>14*4</f>
        <v>56</v>
      </c>
      <c r="D2" s="12"/>
    </row>
    <row r="3" spans="2:5" x14ac:dyDescent="0.25">
      <c r="B3" s="1" t="s">
        <v>1651</v>
      </c>
      <c r="C3" s="2" t="s">
        <v>199</v>
      </c>
      <c r="D3" s="12"/>
    </row>
    <row r="5" spans="2:5" x14ac:dyDescent="0.25">
      <c r="B5" s="1" t="s">
        <v>1647</v>
      </c>
      <c r="C5" s="12" t="s">
        <v>6</v>
      </c>
      <c r="D5" s="12" t="s">
        <v>1648</v>
      </c>
      <c r="E5" s="12" t="s">
        <v>1649</v>
      </c>
    </row>
    <row r="6" spans="2:5" x14ac:dyDescent="0.25">
      <c r="B6" s="1" t="str" cm="1">
        <f t="array" ref="B6:B203">_xlfn._xlws.FILTER(Table1[Player], ISNUMBER(SEARCH("RW", Table1[Position])))</f>
        <v>Nikita Kucherov</v>
      </c>
      <c r="C6" s="13">
        <f>VLOOKUP(B6,Table1[[Player]:[FP/G]],7,FALSE)</f>
        <v>9.2602341326986792</v>
      </c>
      <c r="D6" s="14">
        <f>COUNT($C$6:C6)</f>
        <v>1</v>
      </c>
      <c r="E6" s="13">
        <f>C6-VLOOKUP($C$3,$B$6:$D$187,2,FALSE)</f>
        <v>4.4703604833978794</v>
      </c>
    </row>
    <row r="7" spans="2:5" x14ac:dyDescent="0.25">
      <c r="B7" s="1" t="str">
        <v>David Pastrnak</v>
      </c>
      <c r="C7" s="13">
        <f>VLOOKUP(B7,Table1[[Player]:[FP/G]],7,FALSE)</f>
        <v>8.9336226353528208</v>
      </c>
      <c r="D7" s="14">
        <f>COUNT($C$6:C7)</f>
        <v>2</v>
      </c>
      <c r="E7" s="13">
        <f t="shared" ref="E7:E70" si="0">C7-VLOOKUP($C$3,$B$6:$D$187,2,FALSE)</f>
        <v>4.1437489860520209</v>
      </c>
    </row>
    <row r="8" spans="2:5" x14ac:dyDescent="0.25">
      <c r="B8" s="1" t="str">
        <v>William Nylander</v>
      </c>
      <c r="C8" s="13">
        <f>VLOOKUP(B8,Table1[[Player]:[FP/G]],7,FALSE)</f>
        <v>8.3842839845799908</v>
      </c>
      <c r="D8" s="14">
        <f>COUNT($C$6:C8)</f>
        <v>3</v>
      </c>
      <c r="E8" s="13">
        <f t="shared" si="0"/>
        <v>3.594410335279191</v>
      </c>
    </row>
    <row r="9" spans="2:5" x14ac:dyDescent="0.25">
      <c r="B9" s="1" t="str">
        <v>Alex Ovechkin</v>
      </c>
      <c r="C9" s="13">
        <f>VLOOKUP(B9,Table1[[Player]:[FP/G]],7,FALSE)</f>
        <v>7.3698840950047</v>
      </c>
      <c r="D9" s="14">
        <f>COUNT($C$6:C9)</f>
        <v>4</v>
      </c>
      <c r="E9" s="13">
        <f t="shared" si="0"/>
        <v>2.5800104457039001</v>
      </c>
    </row>
    <row r="10" spans="2:5" x14ac:dyDescent="0.25">
      <c r="B10" s="1" t="str">
        <v>Matt Boldy</v>
      </c>
      <c r="C10" s="13">
        <f>VLOOKUP(B10,Table1[[Player]:[FP/G]],7,FALSE)</f>
        <v>7.3413025016504001</v>
      </c>
      <c r="D10" s="14">
        <f>COUNT($C$6:C10)</f>
        <v>5</v>
      </c>
      <c r="E10" s="13">
        <f t="shared" si="0"/>
        <v>2.5514288523496003</v>
      </c>
    </row>
    <row r="11" spans="2:5" x14ac:dyDescent="0.25">
      <c r="B11" s="1" t="str">
        <v>Mikko Rantanen</v>
      </c>
      <c r="C11" s="13">
        <f>VLOOKUP(B11,Table1[[Player]:[FP/G]],7,FALSE)</f>
        <v>7.1259851975380704</v>
      </c>
      <c r="D11" s="14">
        <f>COUNT($C$6:C11)</f>
        <v>6</v>
      </c>
      <c r="E11" s="13">
        <f t="shared" si="0"/>
        <v>2.3361115482372705</v>
      </c>
    </row>
    <row r="12" spans="2:5" x14ac:dyDescent="0.25">
      <c r="B12" s="1" t="str">
        <v>Jesper Bratt</v>
      </c>
      <c r="C12" s="13">
        <f>VLOOKUP(B12,Table1[[Player]:[FP/G]],7,FALSE)</f>
        <v>7.0553915052448897</v>
      </c>
      <c r="D12" s="14">
        <f>COUNT($C$6:C12)</f>
        <v>7</v>
      </c>
      <c r="E12" s="13">
        <f t="shared" si="0"/>
        <v>2.2655178559440898</v>
      </c>
    </row>
    <row r="13" spans="2:5" x14ac:dyDescent="0.25">
      <c r="B13" s="1" t="str">
        <v>Mitch Marner</v>
      </c>
      <c r="C13" s="13">
        <f>VLOOKUP(B13,Table1[[Player]:[FP/G]],7,FALSE)</f>
        <v>7.04265471606662</v>
      </c>
      <c r="D13" s="14">
        <f>COUNT($C$6:C13)</f>
        <v>8</v>
      </c>
      <c r="E13" s="13">
        <f t="shared" si="0"/>
        <v>2.2527810667658201</v>
      </c>
    </row>
    <row r="14" spans="2:5" x14ac:dyDescent="0.25">
      <c r="B14" s="1" t="str">
        <v>Adrian Kempe</v>
      </c>
      <c r="C14" s="13">
        <f>VLOOKUP(B14,Table1[[Player]:[FP/G]],7,FALSE)</f>
        <v>7.0364291585786303</v>
      </c>
      <c r="D14" s="14">
        <f>COUNT($C$6:C14)</f>
        <v>9</v>
      </c>
      <c r="E14" s="13">
        <f t="shared" si="0"/>
        <v>2.2465555092778304</v>
      </c>
    </row>
    <row r="15" spans="2:5" x14ac:dyDescent="0.25">
      <c r="B15" s="1" t="str">
        <v>Sam Reinhart</v>
      </c>
      <c r="C15" s="13">
        <f>VLOOKUP(B15,Table1[[Player]:[FP/G]],7,FALSE)</f>
        <v>6.8499156984731098</v>
      </c>
      <c r="D15" s="14">
        <f>COUNT($C$6:C15)</f>
        <v>10</v>
      </c>
      <c r="E15" s="13">
        <f t="shared" si="0"/>
        <v>2.0600420491723099</v>
      </c>
    </row>
    <row r="16" spans="2:5" x14ac:dyDescent="0.25">
      <c r="B16" s="1" t="str">
        <v>Kirill Marchenko</v>
      </c>
      <c r="C16" s="13">
        <f>VLOOKUP(B16,Table1[[Player]:[FP/G]],7,FALSE)</f>
        <v>6.8436415594978497</v>
      </c>
      <c r="D16" s="14">
        <f>COUNT($C$6:C16)</f>
        <v>11</v>
      </c>
      <c r="E16" s="13">
        <f t="shared" si="0"/>
        <v>2.0537679101970499</v>
      </c>
    </row>
    <row r="17" spans="2:5" x14ac:dyDescent="0.25">
      <c r="B17" s="1" t="str">
        <v>Nikolaj Ehlers</v>
      </c>
      <c r="C17" s="13">
        <f>VLOOKUP(B17,Table1[[Player]:[FP/G]],7,FALSE)</f>
        <v>6.8403975131374004</v>
      </c>
      <c r="D17" s="14">
        <f>COUNT($C$6:C17)</f>
        <v>12</v>
      </c>
      <c r="E17" s="13">
        <f t="shared" si="0"/>
        <v>2.0505238638366006</v>
      </c>
    </row>
    <row r="18" spans="2:5" x14ac:dyDescent="0.25">
      <c r="B18" s="1" t="str">
        <v>Drake Batherson</v>
      </c>
      <c r="C18" s="13">
        <f>VLOOKUP(B18,Table1[[Player]:[FP/G]],7,FALSE)</f>
        <v>6.7550807161094797</v>
      </c>
      <c r="D18" s="14">
        <f>COUNT($C$6:C18)</f>
        <v>13</v>
      </c>
      <c r="E18" s="13">
        <f t="shared" si="0"/>
        <v>1.9652070668086798</v>
      </c>
    </row>
    <row r="19" spans="2:5" x14ac:dyDescent="0.25">
      <c r="B19" s="1" t="str">
        <v>Tage Thompson</v>
      </c>
      <c r="C19" s="13">
        <f>VLOOKUP(B19,Table1[[Player]:[FP/G]],7,FALSE)</f>
        <v>6.7288560058686597</v>
      </c>
      <c r="D19" s="14">
        <f>COUNT($C$6:C19)</f>
        <v>14</v>
      </c>
      <c r="E19" s="13">
        <f t="shared" si="0"/>
        <v>1.9389823565678599</v>
      </c>
    </row>
    <row r="20" spans="2:5" x14ac:dyDescent="0.25">
      <c r="B20" s="1" t="str">
        <v>Kevin Fiala</v>
      </c>
      <c r="C20" s="13">
        <f>VLOOKUP(B20,Table1[[Player]:[FP/G]],7,FALSE)</f>
        <v>6.6843268133705402</v>
      </c>
      <c r="D20" s="14">
        <f>COUNT($C$6:C20)</f>
        <v>15</v>
      </c>
      <c r="E20" s="13">
        <f t="shared" si="0"/>
        <v>1.8944531640697404</v>
      </c>
    </row>
    <row r="21" spans="2:5" x14ac:dyDescent="0.25">
      <c r="B21" s="1" t="str">
        <v>Jordan Kyrou</v>
      </c>
      <c r="C21" s="13">
        <f>VLOOKUP(B21,Table1[[Player]:[FP/G]],7,FALSE)</f>
        <v>6.6511250101474797</v>
      </c>
      <c r="D21" s="14">
        <f>COUNT($C$6:C21)</f>
        <v>16</v>
      </c>
      <c r="E21" s="13">
        <f t="shared" si="0"/>
        <v>1.8612513608466799</v>
      </c>
    </row>
    <row r="22" spans="2:5" x14ac:dyDescent="0.25">
      <c r="B22" s="1" t="str">
        <v>Matthew Tkachuk</v>
      </c>
      <c r="C22" s="13">
        <f>VLOOKUP(B22,Table1[[Player]:[FP/G]],7,FALSE)</f>
        <v>6.6379915117122001</v>
      </c>
      <c r="D22" s="14">
        <f>COUNT($C$6:C22)</f>
        <v>17</v>
      </c>
      <c r="E22" s="13">
        <f t="shared" si="0"/>
        <v>1.8481178624114003</v>
      </c>
    </row>
    <row r="23" spans="2:5" x14ac:dyDescent="0.25">
      <c r="B23" s="1" t="str">
        <v>Martin Necas</v>
      </c>
      <c r="C23" s="13">
        <f>VLOOKUP(B23,Table1[[Player]:[FP/G]],7,FALSE)</f>
        <v>6.5818219335473502</v>
      </c>
      <c r="D23" s="14">
        <f>COUNT($C$6:C23)</f>
        <v>18</v>
      </c>
      <c r="E23" s="13">
        <f t="shared" si="0"/>
        <v>1.7919482842465504</v>
      </c>
    </row>
    <row r="24" spans="2:5" x14ac:dyDescent="0.25">
      <c r="B24" s="1" t="str">
        <v>Seth Jarvis</v>
      </c>
      <c r="C24" s="13">
        <f>VLOOKUP(B24,Table1[[Player]:[FP/G]],7,FALSE)</f>
        <v>6.4968885944131998</v>
      </c>
      <c r="D24" s="14">
        <f>COUNT($C$6:C24)</f>
        <v>19</v>
      </c>
      <c r="E24" s="13">
        <f t="shared" si="0"/>
        <v>1.7070149451123999</v>
      </c>
    </row>
    <row r="25" spans="2:5" x14ac:dyDescent="0.25">
      <c r="B25" s="1" t="str">
        <v>Alex Tuch</v>
      </c>
      <c r="C25" s="13">
        <f>VLOOKUP(B25,Table1[[Player]:[FP/G]],7,FALSE)</f>
        <v>6.3367113392398604</v>
      </c>
      <c r="D25" s="14">
        <f>COUNT($C$6:C25)</f>
        <v>20</v>
      </c>
      <c r="E25" s="13">
        <f t="shared" si="0"/>
        <v>1.5468376899390606</v>
      </c>
    </row>
    <row r="26" spans="2:5" x14ac:dyDescent="0.25">
      <c r="B26" s="1" t="str">
        <v>Tom Wilson</v>
      </c>
      <c r="C26" s="13">
        <f>VLOOKUP(B26,Table1[[Player]:[FP/G]],7,FALSE)</f>
        <v>6.2285600119814397</v>
      </c>
      <c r="D26" s="14">
        <f>COUNT($C$6:C26)</f>
        <v>21</v>
      </c>
      <c r="E26" s="13">
        <f t="shared" si="0"/>
        <v>1.4386863626806399</v>
      </c>
    </row>
    <row r="27" spans="2:5" x14ac:dyDescent="0.25">
      <c r="B27" s="1" t="str">
        <v>Wyatt Johnston</v>
      </c>
      <c r="C27" s="13">
        <f>VLOOKUP(B27,Table1[[Player]:[FP/G]],7,FALSE)</f>
        <v>6.22675992566829</v>
      </c>
      <c r="D27" s="14">
        <f>COUNT($C$6:C27)</f>
        <v>22</v>
      </c>
      <c r="E27" s="13">
        <f t="shared" si="0"/>
        <v>1.4368862763674901</v>
      </c>
    </row>
    <row r="28" spans="2:5" x14ac:dyDescent="0.25">
      <c r="B28" s="1" t="str">
        <v>Lucas Raymond</v>
      </c>
      <c r="C28" s="13">
        <f>VLOOKUP(B28,Table1[[Player]:[FP/G]],7,FALSE)</f>
        <v>6.2227944638508701</v>
      </c>
      <c r="D28" s="14">
        <f>COUNT($C$6:C28)</f>
        <v>23</v>
      </c>
      <c r="E28" s="13">
        <f t="shared" si="0"/>
        <v>1.4329208145500703</v>
      </c>
    </row>
    <row r="29" spans="2:5" x14ac:dyDescent="0.25">
      <c r="B29" s="1" t="str">
        <v>Matt Duchene</v>
      </c>
      <c r="C29" s="13">
        <f>VLOOKUP(B29,Table1[[Player]:[FP/G]],7,FALSE)</f>
        <v>6.1833274144943404</v>
      </c>
      <c r="D29" s="14">
        <f>COUNT($C$6:C29)</f>
        <v>24</v>
      </c>
      <c r="E29" s="13">
        <f t="shared" si="0"/>
        <v>1.3934537651935406</v>
      </c>
    </row>
    <row r="30" spans="2:5" x14ac:dyDescent="0.25">
      <c r="B30" s="1" t="str">
        <v>Travis Konecny</v>
      </c>
      <c r="C30" s="13">
        <f>VLOOKUP(B30,Table1[[Player]:[FP/G]],7,FALSE)</f>
        <v>6.1663373493720401</v>
      </c>
      <c r="D30" s="14">
        <f>COUNT($C$6:C30)</f>
        <v>25</v>
      </c>
      <c r="E30" s="13">
        <f t="shared" si="0"/>
        <v>1.3764637000712403</v>
      </c>
    </row>
    <row r="31" spans="2:5" x14ac:dyDescent="0.25">
      <c r="B31" s="1" t="str">
        <v>Bryan Rust</v>
      </c>
      <c r="C31" s="13">
        <f>VLOOKUP(B31,Table1[[Player]:[FP/G]],7,FALSE)</f>
        <v>6.1541848626513396</v>
      </c>
      <c r="D31" s="14">
        <f>COUNT($C$6:C31)</f>
        <v>26</v>
      </c>
      <c r="E31" s="13">
        <f t="shared" si="0"/>
        <v>1.3643112133505397</v>
      </c>
    </row>
    <row r="32" spans="2:5" x14ac:dyDescent="0.25">
      <c r="B32" s="1" t="str">
        <v>J.T. Miller</v>
      </c>
      <c r="C32" s="13">
        <f>VLOOKUP(B32,Table1[[Player]:[FP/G]],7,FALSE)</f>
        <v>6.12106335625983</v>
      </c>
      <c r="D32" s="14">
        <f>COUNT($C$6:C32)</f>
        <v>27</v>
      </c>
      <c r="E32" s="13">
        <f t="shared" si="0"/>
        <v>1.3311897069590302</v>
      </c>
    </row>
    <row r="33" spans="2:5" x14ac:dyDescent="0.25">
      <c r="B33" s="1" t="str">
        <v>Timo Meier</v>
      </c>
      <c r="C33" s="13">
        <f>VLOOKUP(B33,Table1[[Player]:[FP/G]],7,FALSE)</f>
        <v>6.0270562398028602</v>
      </c>
      <c r="D33" s="14">
        <f>COUNT($C$6:C33)</f>
        <v>28</v>
      </c>
      <c r="E33" s="13">
        <f t="shared" si="0"/>
        <v>1.2371825905020604</v>
      </c>
    </row>
    <row r="34" spans="2:5" x14ac:dyDescent="0.25">
      <c r="B34" s="1" t="str">
        <v>Dylan Guenther</v>
      </c>
      <c r="C34" s="13">
        <f>VLOOKUP(B34,Table1[[Player]:[FP/G]],7,FALSE)</f>
        <v>6.0090456127074896</v>
      </c>
      <c r="D34" s="14">
        <f>COUNT($C$6:C34)</f>
        <v>29</v>
      </c>
      <c r="E34" s="13">
        <f t="shared" si="0"/>
        <v>1.2191719634066898</v>
      </c>
    </row>
    <row r="35" spans="2:5" x14ac:dyDescent="0.25">
      <c r="B35" s="1" t="str">
        <v>Mika Zibanejad</v>
      </c>
      <c r="C35" s="13">
        <f>VLOOKUP(B35,Table1[[Player]:[FP/G]],7,FALSE)</f>
        <v>5.8589042582119299</v>
      </c>
      <c r="D35" s="14">
        <f>COUNT($C$6:C35)</f>
        <v>30</v>
      </c>
      <c r="E35" s="13">
        <f t="shared" si="0"/>
        <v>1.0690306089111301</v>
      </c>
    </row>
    <row r="36" spans="2:5" x14ac:dyDescent="0.25">
      <c r="B36" s="1" t="str">
        <v>Gabriel Vilardi</v>
      </c>
      <c r="C36" s="13">
        <f>VLOOKUP(B36,Table1[[Player]:[FP/G]],7,FALSE)</f>
        <v>5.8136732380194296</v>
      </c>
      <c r="D36" s="14">
        <f>COUNT($C$6:C36)</f>
        <v>31</v>
      </c>
      <c r="E36" s="13">
        <f t="shared" si="0"/>
        <v>1.0237995887186297</v>
      </c>
    </row>
    <row r="37" spans="2:5" x14ac:dyDescent="0.25">
      <c r="B37" s="1" t="str">
        <v>Mats Zuccarello</v>
      </c>
      <c r="C37" s="13">
        <f>VLOOKUP(B37,Table1[[Player]:[FP/G]],7,FALSE)</f>
        <v>5.7816001218002899</v>
      </c>
      <c r="D37" s="14">
        <f>COUNT($C$6:C37)</f>
        <v>32</v>
      </c>
      <c r="E37" s="13">
        <f t="shared" si="0"/>
        <v>0.99172647249949009</v>
      </c>
    </row>
    <row r="38" spans="2:5" x14ac:dyDescent="0.25">
      <c r="B38" s="1" t="str">
        <v>Patrick Kane</v>
      </c>
      <c r="C38" s="13">
        <f>VLOOKUP(B38,Table1[[Player]:[FP/G]],7,FALSE)</f>
        <v>5.7710910599877803</v>
      </c>
      <c r="D38" s="14">
        <f>COUNT($C$6:C38)</f>
        <v>33</v>
      </c>
      <c r="E38" s="13">
        <f t="shared" si="0"/>
        <v>0.98121741068698043</v>
      </c>
    </row>
    <row r="39" spans="2:5" x14ac:dyDescent="0.25">
      <c r="B39" s="1" t="str">
        <v>Brock Boeser</v>
      </c>
      <c r="C39" s="13">
        <f>VLOOKUP(B39,Table1[[Player]:[FP/G]],7,FALSE)</f>
        <v>5.7679039635299096</v>
      </c>
      <c r="D39" s="14">
        <f>COUNT($C$6:C39)</f>
        <v>34</v>
      </c>
      <c r="E39" s="13">
        <f t="shared" si="0"/>
        <v>0.9780303142291098</v>
      </c>
    </row>
    <row r="40" spans="2:5" x14ac:dyDescent="0.25">
      <c r="B40" s="1" t="str">
        <v>Trevor Moore</v>
      </c>
      <c r="C40" s="13">
        <f>VLOOKUP(B40,Table1[[Player]:[FP/G]],7,FALSE)</f>
        <v>5.5911284849002003</v>
      </c>
      <c r="D40" s="14">
        <f>COUNT($C$6:C40)</f>
        <v>35</v>
      </c>
      <c r="E40" s="13">
        <f t="shared" si="0"/>
        <v>0.80125483559940047</v>
      </c>
    </row>
    <row r="41" spans="2:5" x14ac:dyDescent="0.25">
      <c r="B41" s="1" t="str">
        <v>Andrei Svechnikov</v>
      </c>
      <c r="C41" s="13">
        <f>VLOOKUP(B41,Table1[[Player]:[FP/G]],7,FALSE)</f>
        <v>5.55234512019371</v>
      </c>
      <c r="D41" s="14">
        <f>COUNT($C$6:C41)</f>
        <v>36</v>
      </c>
      <c r="E41" s="13">
        <f t="shared" si="0"/>
        <v>0.76247147089291012</v>
      </c>
    </row>
    <row r="42" spans="2:5" x14ac:dyDescent="0.25">
      <c r="B42" s="1" t="str">
        <v>Valeri Nichushkin</v>
      </c>
      <c r="C42" s="13">
        <f>VLOOKUP(B42,Table1[[Player]:[FP/G]],7,FALSE)</f>
        <v>5.5427266153199497</v>
      </c>
      <c r="D42" s="14">
        <f>COUNT($C$6:C42)</f>
        <v>37</v>
      </c>
      <c r="E42" s="13">
        <f t="shared" si="0"/>
        <v>0.75285296601914986</v>
      </c>
    </row>
    <row r="43" spans="2:5" x14ac:dyDescent="0.25">
      <c r="B43" s="1" t="str">
        <v>Patrik Laine</v>
      </c>
      <c r="C43" s="13">
        <f>VLOOKUP(B43,Table1[[Player]:[FP/G]],7,FALSE)</f>
        <v>5.4616584082162696</v>
      </c>
      <c r="D43" s="14">
        <f>COUNT($C$6:C43)</f>
        <v>38</v>
      </c>
      <c r="E43" s="13">
        <f t="shared" si="0"/>
        <v>0.67178475891546974</v>
      </c>
    </row>
    <row r="44" spans="2:5" x14ac:dyDescent="0.25">
      <c r="B44" s="1" t="str">
        <v>Nick Schmaltz</v>
      </c>
      <c r="C44" s="13">
        <f>VLOOKUP(B44,Table1[[Player]:[FP/G]],7,FALSE)</f>
        <v>5.4483608266388801</v>
      </c>
      <c r="D44" s="14">
        <f>COUNT($C$6:C44)</f>
        <v>39</v>
      </c>
      <c r="E44" s="13">
        <f t="shared" si="0"/>
        <v>0.65848717733808027</v>
      </c>
    </row>
    <row r="45" spans="2:5" x14ac:dyDescent="0.25">
      <c r="B45" s="1" t="str">
        <v>Mikael Granlund</v>
      </c>
      <c r="C45" s="13">
        <f>VLOOKUP(B45,Table1[[Player]:[FP/G]],7,FALSE)</f>
        <v>5.3906859865565497</v>
      </c>
      <c r="D45" s="14">
        <f>COUNT($C$6:C45)</f>
        <v>40</v>
      </c>
      <c r="E45" s="13">
        <f t="shared" si="0"/>
        <v>0.6008123372557499</v>
      </c>
    </row>
    <row r="46" spans="2:5" x14ac:dyDescent="0.25">
      <c r="B46" s="1" t="str">
        <v>Troy Terry</v>
      </c>
      <c r="C46" s="13">
        <f>VLOOKUP(B46,Table1[[Player]:[FP/G]],7,FALSE)</f>
        <v>5.3503113426763198</v>
      </c>
      <c r="D46" s="14">
        <f>COUNT($C$6:C46)</f>
        <v>41</v>
      </c>
      <c r="E46" s="13">
        <f t="shared" si="0"/>
        <v>0.56043769337551996</v>
      </c>
    </row>
    <row r="47" spans="2:5" x14ac:dyDescent="0.25">
      <c r="B47" s="1" t="str">
        <v>Viktor Arvidsson</v>
      </c>
      <c r="C47" s="13">
        <f>VLOOKUP(B47,Table1[[Player]:[FP/G]],7,FALSE)</f>
        <v>5.3088739740002602</v>
      </c>
      <c r="D47" s="14">
        <f>COUNT($C$6:C47)</f>
        <v>42</v>
      </c>
      <c r="E47" s="13">
        <f t="shared" si="0"/>
        <v>0.51900032469946034</v>
      </c>
    </row>
    <row r="48" spans="2:5" x14ac:dyDescent="0.25">
      <c r="B48" s="1" t="str">
        <v>Mark Stone</v>
      </c>
      <c r="C48" s="13">
        <f>VLOOKUP(B48,Table1[[Player]:[FP/G]],7,FALSE)</f>
        <v>5.2938745288029496</v>
      </c>
      <c r="D48" s="14">
        <f>COUNT($C$6:C48)</f>
        <v>43</v>
      </c>
      <c r="E48" s="13">
        <f t="shared" si="0"/>
        <v>0.50400087950214978</v>
      </c>
    </row>
    <row r="49" spans="2:5" x14ac:dyDescent="0.25">
      <c r="B49" s="1" t="str">
        <v>Rickard Rakell</v>
      </c>
      <c r="C49" s="13">
        <f>VLOOKUP(B49,Table1[[Player]:[FP/G]],7,FALSE)</f>
        <v>5.2269956498752501</v>
      </c>
      <c r="D49" s="14">
        <f>COUNT($C$6:C49)</f>
        <v>44</v>
      </c>
      <c r="E49" s="13">
        <f t="shared" si="0"/>
        <v>0.43712200057445028</v>
      </c>
    </row>
    <row r="50" spans="2:5" x14ac:dyDescent="0.25">
      <c r="B50" s="1" t="str">
        <v>Blake Coleman</v>
      </c>
      <c r="C50" s="13">
        <f>VLOOKUP(B50,Table1[[Player]:[FP/G]],7,FALSE)</f>
        <v>5.1920292659698504</v>
      </c>
      <c r="D50" s="14">
        <f>COUNT($C$6:C50)</f>
        <v>45</v>
      </c>
      <c r="E50" s="13">
        <f t="shared" si="0"/>
        <v>0.40215561666905053</v>
      </c>
    </row>
    <row r="51" spans="2:5" x14ac:dyDescent="0.25">
      <c r="B51" s="1" t="str">
        <v>Jonathan Marchessault</v>
      </c>
      <c r="C51" s="13">
        <f>VLOOKUP(B51,Table1[[Player]:[FP/G]],7,FALSE)</f>
        <v>5.1912237161040498</v>
      </c>
      <c r="D51" s="14">
        <f>COUNT($C$6:C51)</f>
        <v>46</v>
      </c>
      <c r="E51" s="13">
        <f t="shared" si="0"/>
        <v>0.40135006680324992</v>
      </c>
    </row>
    <row r="52" spans="2:5" x14ac:dyDescent="0.25">
      <c r="B52" s="1" t="str">
        <v>Tyler Toffoli</v>
      </c>
      <c r="C52" s="13">
        <f>VLOOKUP(B52,Table1[[Player]:[FP/G]],7,FALSE)</f>
        <v>5.1836478341914196</v>
      </c>
      <c r="D52" s="14">
        <f>COUNT($C$6:C52)</f>
        <v>47</v>
      </c>
      <c r="E52" s="13">
        <f t="shared" si="0"/>
        <v>0.39377418489061977</v>
      </c>
    </row>
    <row r="53" spans="2:5" x14ac:dyDescent="0.25">
      <c r="B53" s="1" t="str">
        <v>Pavel Buchnevich</v>
      </c>
      <c r="C53" s="13">
        <f>VLOOKUP(B53,Table1[[Player]:[FP/G]],7,FALSE)</f>
        <v>5.1450555619980802</v>
      </c>
      <c r="D53" s="14">
        <f>COUNT($C$6:C53)</f>
        <v>48</v>
      </c>
      <c r="E53" s="13">
        <f t="shared" si="0"/>
        <v>0.35518191269728039</v>
      </c>
    </row>
    <row r="54" spans="2:5" x14ac:dyDescent="0.25">
      <c r="B54" s="1" t="str">
        <v>Jake DeBrusk</v>
      </c>
      <c r="C54" s="13">
        <f>VLOOKUP(B54,Table1[[Player]:[FP/G]],7,FALSE)</f>
        <v>5.0810986104501996</v>
      </c>
      <c r="D54" s="14">
        <f>COUNT($C$6:C54)</f>
        <v>49</v>
      </c>
      <c r="E54" s="13">
        <f t="shared" si="0"/>
        <v>0.29122496114939977</v>
      </c>
    </row>
    <row r="55" spans="2:5" x14ac:dyDescent="0.25">
      <c r="B55" s="1" t="str">
        <v>Andrei Kuzmenko</v>
      </c>
      <c r="C55" s="13">
        <f>VLOOKUP(B55,Table1[[Player]:[FP/G]],7,FALSE)</f>
        <v>5.02502802495595</v>
      </c>
      <c r="D55" s="14">
        <f>COUNT($C$6:C55)</f>
        <v>50</v>
      </c>
      <c r="E55" s="13">
        <f t="shared" si="0"/>
        <v>0.23515437565515018</v>
      </c>
    </row>
    <row r="56" spans="2:5" x14ac:dyDescent="0.25">
      <c r="B56" s="1" t="str">
        <v>Oliver Bjorkstrand</v>
      </c>
      <c r="C56" s="13">
        <f>VLOOKUP(B56,Table1[[Player]:[FP/G]],7,FALSE)</f>
        <v>4.98969615051438</v>
      </c>
      <c r="D56" s="14">
        <f>COUNT($C$6:C56)</f>
        <v>51</v>
      </c>
      <c r="E56" s="13">
        <f t="shared" si="0"/>
        <v>0.19982250121358014</v>
      </c>
    </row>
    <row r="57" spans="2:5" x14ac:dyDescent="0.25">
      <c r="B57" s="1" t="str">
        <v>Yegor Sharangovich</v>
      </c>
      <c r="C57" s="13">
        <f>VLOOKUP(B57,Table1[[Player]:[FP/G]],7,FALSE)</f>
        <v>4.9515967798105596</v>
      </c>
      <c r="D57" s="14">
        <f>COUNT($C$6:C57)</f>
        <v>52</v>
      </c>
      <c r="E57" s="13">
        <f t="shared" si="0"/>
        <v>0.16172313050975973</v>
      </c>
    </row>
    <row r="58" spans="2:5" x14ac:dyDescent="0.25">
      <c r="B58" s="1" t="str">
        <v>Mathew Barzal</v>
      </c>
      <c r="C58" s="13">
        <f>VLOOKUP(B58,Table1[[Player]:[FP/G]],7,FALSE)</f>
        <v>4.9153798077189004</v>
      </c>
      <c r="D58" s="14">
        <f>COUNT($C$6:C58)</f>
        <v>53</v>
      </c>
      <c r="E58" s="13">
        <f t="shared" si="0"/>
        <v>0.12550615841810053</v>
      </c>
    </row>
    <row r="59" spans="2:5" x14ac:dyDescent="0.25">
      <c r="B59" s="1" t="str">
        <v>Jonathan Drouin</v>
      </c>
      <c r="C59" s="13">
        <f>VLOOKUP(B59,Table1[[Player]:[FP/G]],7,FALSE)</f>
        <v>4.8122609676088102</v>
      </c>
      <c r="D59" s="14">
        <f>COUNT($C$6:C59)</f>
        <v>54</v>
      </c>
      <c r="E59" s="13">
        <f t="shared" si="0"/>
        <v>2.2387318308010329E-2</v>
      </c>
    </row>
    <row r="60" spans="2:5" x14ac:dyDescent="0.25">
      <c r="B60" s="1" t="str">
        <v>Charlie Coyle</v>
      </c>
      <c r="C60" s="13">
        <f>VLOOKUP(B60,Table1[[Player]:[FP/G]],7,FALSE)</f>
        <v>4.80265548579988</v>
      </c>
      <c r="D60" s="14">
        <f>COUNT($C$6:C60)</f>
        <v>55</v>
      </c>
      <c r="E60" s="13">
        <f t="shared" si="0"/>
        <v>1.2781836499080157E-2</v>
      </c>
    </row>
    <row r="61" spans="2:5" x14ac:dyDescent="0.25">
      <c r="B61" s="1" t="str">
        <v>Gustav Nyquist</v>
      </c>
      <c r="C61" s="13">
        <f>VLOOKUP(B61,Table1[[Player]:[FP/G]],7,FALSE)</f>
        <v>4.7898736493007998</v>
      </c>
      <c r="D61" s="14">
        <f>COUNT($C$6:C61)</f>
        <v>56</v>
      </c>
      <c r="E61" s="13">
        <f t="shared" si="0"/>
        <v>0</v>
      </c>
    </row>
    <row r="62" spans="2:5" x14ac:dyDescent="0.25">
      <c r="B62" s="1" t="str">
        <v>Fabian Zetterlund</v>
      </c>
      <c r="C62" s="13">
        <f>VLOOKUP(B62,Table1[[Player]:[FP/G]],7,FALSE)</f>
        <v>4.7777880811470101</v>
      </c>
      <c r="D62" s="14">
        <f>COUNT($C$6:C62)</f>
        <v>57</v>
      </c>
      <c r="E62" s="13">
        <f t="shared" si="0"/>
        <v>-1.2085568153789694E-2</v>
      </c>
    </row>
    <row r="63" spans="2:5" x14ac:dyDescent="0.25">
      <c r="B63" s="1" t="str">
        <v>Lawson Crouse</v>
      </c>
      <c r="C63" s="13">
        <f>VLOOKUP(B63,Table1[[Player]:[FP/G]],7,FALSE)</f>
        <v>4.7273106604781399</v>
      </c>
      <c r="D63" s="14">
        <f>COUNT($C$6:C63)</f>
        <v>58</v>
      </c>
      <c r="E63" s="13">
        <f t="shared" si="0"/>
        <v>-6.2562988822659982E-2</v>
      </c>
    </row>
    <row r="64" spans="2:5" x14ac:dyDescent="0.25">
      <c r="B64" s="1" t="str">
        <v>Teuvo Teravainen</v>
      </c>
      <c r="C64" s="13">
        <f>VLOOKUP(B64,Table1[[Player]:[FP/G]],7,FALSE)</f>
        <v>4.7239930994950399</v>
      </c>
      <c r="D64" s="14">
        <f>COUNT($C$6:C64)</f>
        <v>59</v>
      </c>
      <c r="E64" s="13">
        <f t="shared" si="0"/>
        <v>-6.5880549805759969E-2</v>
      </c>
    </row>
    <row r="65" spans="2:5" x14ac:dyDescent="0.25">
      <c r="B65" s="1" t="str">
        <v>Zach Hyman</v>
      </c>
      <c r="C65" s="13">
        <f>VLOOKUP(B65,Table1[[Player]:[FP/G]],7,FALSE)</f>
        <v>4.6982770529065103</v>
      </c>
      <c r="D65" s="14">
        <f>COUNT($C$6:C65)</f>
        <v>60</v>
      </c>
      <c r="E65" s="13">
        <f t="shared" si="0"/>
        <v>-9.159659639428952E-2</v>
      </c>
    </row>
    <row r="66" spans="2:5" x14ac:dyDescent="0.25">
      <c r="B66" s="1" t="str">
        <v>Tyler Bertuzzi</v>
      </c>
      <c r="C66" s="13">
        <f>VLOOKUP(B66,Table1[[Player]:[FP/G]],7,FALSE)</f>
        <v>4.68722419788745</v>
      </c>
      <c r="D66" s="14">
        <f>COUNT($C$6:C66)</f>
        <v>61</v>
      </c>
      <c r="E66" s="13">
        <f t="shared" si="0"/>
        <v>-0.1026494514133498</v>
      </c>
    </row>
    <row r="67" spans="2:5" x14ac:dyDescent="0.25">
      <c r="B67" s="1" t="str">
        <v>Alexis Lafreniere</v>
      </c>
      <c r="C67" s="13">
        <f>VLOOKUP(B67,Table1[[Player]:[FP/G]],7,FALSE)</f>
        <v>4.6613819399664704</v>
      </c>
      <c r="D67" s="14">
        <f>COUNT($C$6:C67)</f>
        <v>62</v>
      </c>
      <c r="E67" s="13">
        <f t="shared" si="0"/>
        <v>-0.12849170933432941</v>
      </c>
    </row>
    <row r="68" spans="2:5" x14ac:dyDescent="0.25">
      <c r="B68" s="1" t="str">
        <v>Tyler Seguin</v>
      </c>
      <c r="C68" s="13">
        <f>VLOOKUP(B68,Table1[[Player]:[FP/G]],7,FALSE)</f>
        <v>4.6398861175177402</v>
      </c>
      <c r="D68" s="14">
        <f>COUNT($C$6:C68)</f>
        <v>63</v>
      </c>
      <c r="E68" s="13">
        <f t="shared" si="0"/>
        <v>-0.14998753178305968</v>
      </c>
    </row>
    <row r="69" spans="2:5" x14ac:dyDescent="0.25">
      <c r="B69" s="1" t="str">
        <v>Ross Colton</v>
      </c>
      <c r="C69" s="13">
        <f>VLOOKUP(B69,Table1[[Player]:[FP/G]],7,FALSE)</f>
        <v>4.6053511836852099</v>
      </c>
      <c r="D69" s="14">
        <f>COUNT($C$6:C69)</f>
        <v>64</v>
      </c>
      <c r="E69" s="13">
        <f t="shared" si="0"/>
        <v>-0.18452246561558994</v>
      </c>
    </row>
    <row r="70" spans="2:5" x14ac:dyDescent="0.25">
      <c r="B70" s="1" t="str">
        <v>Kyle Palmieri</v>
      </c>
      <c r="C70" s="13">
        <f>VLOOKUP(B70,Table1[[Player]:[FP/G]],7,FALSE)</f>
        <v>4.6020944159783204</v>
      </c>
      <c r="D70" s="14">
        <f>COUNT($C$6:C70)</f>
        <v>65</v>
      </c>
      <c r="E70" s="13">
        <f t="shared" si="0"/>
        <v>-0.18777923332247948</v>
      </c>
    </row>
    <row r="71" spans="2:5" x14ac:dyDescent="0.25">
      <c r="B71" s="1" t="str">
        <v>Pavel Dorofeyev</v>
      </c>
      <c r="C71" s="13">
        <f>VLOOKUP(B71,Table1[[Player]:[FP/G]],7,FALSE)</f>
        <v>4.5008971925933503</v>
      </c>
      <c r="D71" s="14">
        <f>COUNT($C$6:C71)</f>
        <v>66</v>
      </c>
      <c r="E71" s="13">
        <f t="shared" ref="E71:E134" si="1">C71-VLOOKUP($C$3,$B$6:$D$187,2,FALSE)</f>
        <v>-0.28897645670744954</v>
      </c>
    </row>
    <row r="72" spans="2:5" x14ac:dyDescent="0.25">
      <c r="B72" s="1" t="str">
        <v>Kent Johnson</v>
      </c>
      <c r="C72" s="13">
        <f>VLOOKUP(B72,Table1[[Player]:[FP/G]],7,FALSE)</f>
        <v>4.4982274737100401</v>
      </c>
      <c r="D72" s="14">
        <f>COUNT($C$6:C72)</f>
        <v>67</v>
      </c>
      <c r="E72" s="13">
        <f t="shared" si="1"/>
        <v>-0.29164617559075978</v>
      </c>
    </row>
    <row r="73" spans="2:5" x14ac:dyDescent="0.25">
      <c r="B73" s="1" t="str">
        <v>Cole Perfetti</v>
      </c>
      <c r="C73" s="13">
        <f>VLOOKUP(B73,Table1[[Player]:[FP/G]],7,FALSE)</f>
        <v>4.4716671435043898</v>
      </c>
      <c r="D73" s="14">
        <f>COUNT($C$6:C73)</f>
        <v>68</v>
      </c>
      <c r="E73" s="13">
        <f t="shared" si="1"/>
        <v>-0.31820650579641008</v>
      </c>
    </row>
    <row r="74" spans="2:5" x14ac:dyDescent="0.25">
      <c r="B74" s="1" t="str">
        <v>Vladimir Tarasenko</v>
      </c>
      <c r="C74" s="13">
        <f>VLOOKUP(B74,Table1[[Player]:[FP/G]],7,FALSE)</f>
        <v>4.4631405721616799</v>
      </c>
      <c r="D74" s="14">
        <f>COUNT($C$6:C74)</f>
        <v>69</v>
      </c>
      <c r="E74" s="13">
        <f t="shared" si="1"/>
        <v>-0.32673307713911992</v>
      </c>
    </row>
    <row r="75" spans="2:5" x14ac:dyDescent="0.25">
      <c r="B75" s="1" t="str">
        <v>Claude Giroux</v>
      </c>
      <c r="C75" s="13">
        <f>VLOOKUP(B75,Table1[[Player]:[FP/G]],7,FALSE)</f>
        <v>4.3994207073850102</v>
      </c>
      <c r="D75" s="14">
        <f>COUNT($C$6:C75)</f>
        <v>70</v>
      </c>
      <c r="E75" s="13">
        <f t="shared" si="1"/>
        <v>-0.39045294191578961</v>
      </c>
    </row>
    <row r="76" spans="2:5" x14ac:dyDescent="0.25">
      <c r="B76" s="1" t="str">
        <v>Juraj Slafkovsky</v>
      </c>
      <c r="C76" s="13">
        <f>VLOOKUP(B76,Table1[[Player]:[FP/G]],7,FALSE)</f>
        <v>4.3832330140208997</v>
      </c>
      <c r="D76" s="14">
        <f>COUNT($C$6:C76)</f>
        <v>71</v>
      </c>
      <c r="E76" s="13">
        <f t="shared" si="1"/>
        <v>-0.40664063527990013</v>
      </c>
    </row>
    <row r="77" spans="2:5" x14ac:dyDescent="0.25">
      <c r="B77" s="1" t="str">
        <v>Luke Evangelista</v>
      </c>
      <c r="C77" s="13">
        <f>VLOOKUP(B77,Table1[[Player]:[FP/G]],7,FALSE)</f>
        <v>4.2991548234364201</v>
      </c>
      <c r="D77" s="14">
        <f>COUNT($C$6:C77)</f>
        <v>72</v>
      </c>
      <c r="E77" s="13">
        <f t="shared" si="1"/>
        <v>-0.49071882586437976</v>
      </c>
    </row>
    <row r="78" spans="2:5" x14ac:dyDescent="0.25">
      <c r="B78" s="1" t="str">
        <v>Warren Foegele</v>
      </c>
      <c r="C78" s="13">
        <f>VLOOKUP(B78,Table1[[Player]:[FP/G]],7,FALSE)</f>
        <v>4.1210746106828697</v>
      </c>
      <c r="D78" s="14">
        <f>COUNT($C$6:C78)</f>
        <v>73</v>
      </c>
      <c r="E78" s="13">
        <f t="shared" si="1"/>
        <v>-0.66879903861793011</v>
      </c>
    </row>
    <row r="79" spans="2:5" x14ac:dyDescent="0.25">
      <c r="B79" s="1" t="str">
        <v>Stefan Noesen</v>
      </c>
      <c r="C79" s="13">
        <f>VLOOKUP(B79,Table1[[Player]:[FP/G]],7,FALSE)</f>
        <v>4.0989341226535601</v>
      </c>
      <c r="D79" s="14">
        <f>COUNT($C$6:C79)</f>
        <v>74</v>
      </c>
      <c r="E79" s="13">
        <f t="shared" si="1"/>
        <v>-0.69093952664723979</v>
      </c>
    </row>
    <row r="80" spans="2:5" x14ac:dyDescent="0.25">
      <c r="B80" s="1" t="str">
        <v>Evan Rodrigues</v>
      </c>
      <c r="C80" s="13">
        <f>VLOOKUP(B80,Table1[[Player]:[FP/G]],7,FALSE)</f>
        <v>4.0758365664786398</v>
      </c>
      <c r="D80" s="14">
        <f>COUNT($C$6:C80)</f>
        <v>75</v>
      </c>
      <c r="E80" s="13">
        <f t="shared" si="1"/>
        <v>-0.71403708282216005</v>
      </c>
    </row>
    <row r="81" spans="2:5" x14ac:dyDescent="0.25">
      <c r="B81" s="1" t="str">
        <v>Conor Garland</v>
      </c>
      <c r="C81" s="13">
        <f>VLOOKUP(B81,Table1[[Player]:[FP/G]],7,FALSE)</f>
        <v>4.0334668729625998</v>
      </c>
      <c r="D81" s="14">
        <f>COUNT($C$6:C81)</f>
        <v>76</v>
      </c>
      <c r="E81" s="13">
        <f t="shared" si="1"/>
        <v>-0.75640677633820008</v>
      </c>
    </row>
    <row r="82" spans="2:5" x14ac:dyDescent="0.25">
      <c r="B82" s="1" t="str">
        <v>Dawson Mercer</v>
      </c>
      <c r="C82" s="13">
        <f>VLOOKUP(B82,Table1[[Player]:[FP/G]],7,FALSE)</f>
        <v>4.0172753314460703</v>
      </c>
      <c r="D82" s="14">
        <f>COUNT($C$6:C82)</f>
        <v>77</v>
      </c>
      <c r="E82" s="13">
        <f t="shared" si="1"/>
        <v>-0.77259831785472954</v>
      </c>
    </row>
    <row r="83" spans="2:5" x14ac:dyDescent="0.25">
      <c r="B83" s="1" t="str">
        <v>Jake Neighbours</v>
      </c>
      <c r="C83" s="13">
        <f>VLOOKUP(B83,Table1[[Player]:[FP/G]],7,FALSE)</f>
        <v>3.9351911263883901</v>
      </c>
      <c r="D83" s="14">
        <f>COUNT($C$6:C83)</f>
        <v>78</v>
      </c>
      <c r="E83" s="13">
        <f t="shared" si="1"/>
        <v>-0.85468252291240976</v>
      </c>
    </row>
    <row r="84" spans="2:5" x14ac:dyDescent="0.25">
      <c r="B84" s="1" t="str">
        <v>Reilly Smith</v>
      </c>
      <c r="C84" s="13">
        <f>VLOOKUP(B84,Table1[[Player]:[FP/G]],7,FALSE)</f>
        <v>3.8918783092606102</v>
      </c>
      <c r="D84" s="14">
        <f>COUNT($C$6:C84)</f>
        <v>79</v>
      </c>
      <c r="E84" s="13">
        <f t="shared" si="1"/>
        <v>-0.89799534004018966</v>
      </c>
    </row>
    <row r="85" spans="2:5" x14ac:dyDescent="0.25">
      <c r="B85" s="1" t="str">
        <v>Ryan Hartman</v>
      </c>
      <c r="C85" s="13">
        <f>VLOOKUP(B85,Table1[[Player]:[FP/G]],7,FALSE)</f>
        <v>3.8081960155392398</v>
      </c>
      <c r="D85" s="14">
        <f>COUNT($C$6:C85)</f>
        <v>80</v>
      </c>
      <c r="E85" s="13">
        <f t="shared" si="1"/>
        <v>-0.98167763376156003</v>
      </c>
    </row>
    <row r="86" spans="2:5" x14ac:dyDescent="0.25">
      <c r="B86" s="1" t="str">
        <v>Matt Coronato</v>
      </c>
      <c r="C86" s="13">
        <f>VLOOKUP(B86,Table1[[Player]:[FP/G]],7,FALSE)</f>
        <v>3.79384923789712</v>
      </c>
      <c r="D86" s="14">
        <f>COUNT($C$6:C86)</f>
        <v>81</v>
      </c>
      <c r="E86" s="13">
        <f t="shared" si="1"/>
        <v>-0.99602441140367981</v>
      </c>
    </row>
    <row r="87" spans="2:5" x14ac:dyDescent="0.25">
      <c r="B87" s="1" t="str">
        <v>Jordan Eberle</v>
      </c>
      <c r="C87" s="13">
        <f>VLOOKUP(B87,Table1[[Player]:[FP/G]],7,FALSE)</f>
        <v>3.7852584510065199</v>
      </c>
      <c r="D87" s="14">
        <f>COUNT($C$6:C87)</f>
        <v>82</v>
      </c>
      <c r="E87" s="13">
        <f t="shared" si="1"/>
        <v>-1.0046151982942799</v>
      </c>
    </row>
    <row r="88" spans="2:5" x14ac:dyDescent="0.25">
      <c r="B88" s="1" t="str">
        <v>Aliaksei Protas</v>
      </c>
      <c r="C88" s="13">
        <f>VLOOKUP(B88,Table1[[Player]:[FP/G]],7,FALSE)</f>
        <v>3.7466158435269801</v>
      </c>
      <c r="D88" s="14">
        <f>COUNT($C$6:C88)</f>
        <v>83</v>
      </c>
      <c r="E88" s="13">
        <f t="shared" si="1"/>
        <v>-1.0432578057738198</v>
      </c>
    </row>
    <row r="89" spans="2:5" x14ac:dyDescent="0.25">
      <c r="B89" s="1" t="str">
        <v>Nick Paul</v>
      </c>
      <c r="C89" s="13">
        <f>VLOOKUP(B89,Table1[[Player]:[FP/G]],7,FALSE)</f>
        <v>3.74203510688772</v>
      </c>
      <c r="D89" s="14">
        <f>COUNT($C$6:C89)</f>
        <v>84</v>
      </c>
      <c r="E89" s="13">
        <f t="shared" si="1"/>
        <v>-1.0478385424130798</v>
      </c>
    </row>
    <row r="90" spans="2:5" x14ac:dyDescent="0.25">
      <c r="B90" s="1" t="str">
        <v>Drew OConnor</v>
      </c>
      <c r="C90" s="13">
        <f>VLOOKUP(B90,Table1[[Player]:[FP/G]],7,FALSE)</f>
        <v>3.7328570376170598</v>
      </c>
      <c r="D90" s="14">
        <f>COUNT($C$6:C90)</f>
        <v>85</v>
      </c>
      <c r="E90" s="13">
        <f t="shared" si="1"/>
        <v>-1.0570166116837401</v>
      </c>
    </row>
    <row r="91" spans="2:5" x14ac:dyDescent="0.25">
      <c r="B91" s="1" t="str">
        <v>Alexander Kerfoot</v>
      </c>
      <c r="C91" s="13">
        <f>VLOOKUP(B91,Table1[[Player]:[FP/G]],7,FALSE)</f>
        <v>3.7298277923614598</v>
      </c>
      <c r="D91" s="14">
        <f>COUNT($C$6:C91)</f>
        <v>86</v>
      </c>
      <c r="E91" s="13">
        <f t="shared" si="1"/>
        <v>-1.0600458569393401</v>
      </c>
    </row>
    <row r="92" spans="2:5" x14ac:dyDescent="0.25">
      <c r="B92" s="1" t="str">
        <v>Kiefer Sherwood</v>
      </c>
      <c r="C92" s="13">
        <f>VLOOKUP(B92,Table1[[Player]:[FP/G]],7,FALSE)</f>
        <v>3.7254584318733501</v>
      </c>
      <c r="D92" s="14">
        <f>COUNT($C$6:C92)</f>
        <v>87</v>
      </c>
      <c r="E92" s="13">
        <f t="shared" si="1"/>
        <v>-1.0644152174274497</v>
      </c>
    </row>
    <row r="93" spans="2:5" x14ac:dyDescent="0.25">
      <c r="B93" s="1" t="str">
        <v>Ridly Greig</v>
      </c>
      <c r="C93" s="13">
        <f>VLOOKUP(B93,Table1[[Player]:[FP/G]],7,FALSE)</f>
        <v>3.7024940627585301</v>
      </c>
      <c r="D93" s="14">
        <f>COUNT($C$6:C93)</f>
        <v>88</v>
      </c>
      <c r="E93" s="13">
        <f t="shared" si="1"/>
        <v>-1.0873795865422697</v>
      </c>
    </row>
    <row r="94" spans="2:5" x14ac:dyDescent="0.25">
      <c r="B94" s="1" t="str">
        <v>Jean-Gabriel Pageau</v>
      </c>
      <c r="C94" s="13">
        <f>VLOOKUP(B94,Table1[[Player]:[FP/G]],7,FALSE)</f>
        <v>3.69893557770262</v>
      </c>
      <c r="D94" s="14">
        <f>COUNT($C$6:C94)</f>
        <v>89</v>
      </c>
      <c r="E94" s="13">
        <f t="shared" si="1"/>
        <v>-1.0909380715981798</v>
      </c>
    </row>
    <row r="95" spans="2:5" x14ac:dyDescent="0.25">
      <c r="B95" s="1" t="str">
        <v>Nick Bjugstad</v>
      </c>
      <c r="C95" s="13">
        <f>VLOOKUP(B95,Table1[[Player]:[FP/G]],7,FALSE)</f>
        <v>3.6751513087526</v>
      </c>
      <c r="D95" s="14">
        <f>COUNT($C$6:C95)</f>
        <v>90</v>
      </c>
      <c r="E95" s="13">
        <f t="shared" si="1"/>
        <v>-1.1147223405481999</v>
      </c>
    </row>
    <row r="96" spans="2:5" x14ac:dyDescent="0.25">
      <c r="B96" s="1" t="str">
        <v>Alex Killorn</v>
      </c>
      <c r="C96" s="13">
        <f>VLOOKUP(B96,Table1[[Player]:[FP/G]],7,FALSE)</f>
        <v>3.6382387145320898</v>
      </c>
      <c r="D96" s="14">
        <f>COUNT($C$6:C96)</f>
        <v>91</v>
      </c>
      <c r="E96" s="13">
        <f t="shared" si="1"/>
        <v>-1.15163493476871</v>
      </c>
    </row>
    <row r="97" spans="2:5" x14ac:dyDescent="0.25">
      <c r="B97" s="1" t="str">
        <v>Jack Quinn</v>
      </c>
      <c r="C97" s="13">
        <f>VLOOKUP(B97,Table1[[Player]:[FP/G]],7,FALSE)</f>
        <v>3.6274635121211798</v>
      </c>
      <c r="D97" s="14">
        <f>COUNT($C$6:C97)</f>
        <v>92</v>
      </c>
      <c r="E97" s="13">
        <f t="shared" si="1"/>
        <v>-1.1624101371796201</v>
      </c>
    </row>
    <row r="98" spans="2:5" x14ac:dyDescent="0.25">
      <c r="B98" s="1" t="str">
        <v>David Perron</v>
      </c>
      <c r="C98" s="13">
        <f>VLOOKUP(B98,Table1[[Player]:[FP/G]],7,FALSE)</f>
        <v>3.5944359522274398</v>
      </c>
      <c r="D98" s="14">
        <f>COUNT($C$6:C98)</f>
        <v>93</v>
      </c>
      <c r="E98" s="13">
        <f t="shared" si="1"/>
        <v>-1.19543769707336</v>
      </c>
    </row>
    <row r="99" spans="2:5" x14ac:dyDescent="0.25">
      <c r="B99" s="1" t="str">
        <v>Kaapo Kakko</v>
      </c>
      <c r="C99" s="13">
        <f>VLOOKUP(B99,Table1[[Player]:[FP/G]],7,FALSE)</f>
        <v>3.5791215814632702</v>
      </c>
      <c r="D99" s="14">
        <f>COUNT($C$6:C99)</f>
        <v>94</v>
      </c>
      <c r="E99" s="13">
        <f t="shared" si="1"/>
        <v>-1.2107520678375296</v>
      </c>
    </row>
    <row r="100" spans="2:5" x14ac:dyDescent="0.25">
      <c r="B100" s="1" t="str">
        <v>Nils Hoglander</v>
      </c>
      <c r="C100" s="13">
        <f>VLOOKUP(B100,Table1[[Player]:[FP/G]],7,FALSE)</f>
        <v>3.5699902754022399</v>
      </c>
      <c r="D100" s="14">
        <f>COUNT($C$6:C100)</f>
        <v>95</v>
      </c>
      <c r="E100" s="13">
        <f t="shared" si="1"/>
        <v>-1.2198833738985599</v>
      </c>
    </row>
    <row r="101" spans="2:5" x14ac:dyDescent="0.25">
      <c r="B101" s="1" t="str">
        <v>Ryan Strome</v>
      </c>
      <c r="C101" s="13">
        <f>VLOOKUP(B101,Table1[[Player]:[FP/G]],7,FALSE)</f>
        <v>3.5132902920729498</v>
      </c>
      <c r="D101" s="14">
        <f>COUNT($C$6:C101)</f>
        <v>96</v>
      </c>
      <c r="E101" s="13">
        <f t="shared" si="1"/>
        <v>-1.27658335722785</v>
      </c>
    </row>
    <row r="102" spans="2:5" x14ac:dyDescent="0.25">
      <c r="B102" s="1" t="str">
        <v>Kirby Dach</v>
      </c>
      <c r="C102" s="13">
        <f>VLOOKUP(B102,Table1[[Player]:[FP/G]],7,FALSE)</f>
        <v>3.4884907130115499</v>
      </c>
      <c r="D102" s="14">
        <f>COUNT($C$6:C102)</f>
        <v>97</v>
      </c>
      <c r="E102" s="13">
        <f t="shared" si="1"/>
        <v>-1.3013829362892499</v>
      </c>
    </row>
    <row r="103" spans="2:5" x14ac:dyDescent="0.25">
      <c r="B103" s="1" t="str">
        <v>Jason Zucker</v>
      </c>
      <c r="C103" s="13">
        <f>VLOOKUP(B103,Table1[[Player]:[FP/G]],7,FALSE)</f>
        <v>3.4713872815653999</v>
      </c>
      <c r="D103" s="14">
        <f>COUNT($C$6:C103)</f>
        <v>98</v>
      </c>
      <c r="E103" s="13">
        <f t="shared" si="1"/>
        <v>-1.3184863677354</v>
      </c>
    </row>
    <row r="104" spans="2:5" x14ac:dyDescent="0.25">
      <c r="B104" s="1" t="str">
        <v>Nick Robertson</v>
      </c>
      <c r="C104" s="13">
        <f>VLOOKUP(B104,Table1[[Player]:[FP/G]],7,FALSE)</f>
        <v>3.4477286729209702</v>
      </c>
      <c r="D104" s="14">
        <f>COUNT($C$6:C104)</f>
        <v>99</v>
      </c>
      <c r="E104" s="13">
        <f t="shared" si="1"/>
        <v>-1.3421449763798297</v>
      </c>
    </row>
    <row r="105" spans="2:5" x14ac:dyDescent="0.25">
      <c r="B105" s="1" t="str">
        <v>Yegor Chinakhov</v>
      </c>
      <c r="C105" s="13">
        <f>VLOOKUP(B105,Table1[[Player]:[FP/G]],7,FALSE)</f>
        <v>3.3986195654928801</v>
      </c>
      <c r="D105" s="14">
        <f>COUNT($C$6:C105)</f>
        <v>100</v>
      </c>
      <c r="E105" s="13">
        <f t="shared" si="1"/>
        <v>-1.3912540838079197</v>
      </c>
    </row>
    <row r="106" spans="2:5" x14ac:dyDescent="0.25">
      <c r="B106" s="1" t="str">
        <v>Max Domi</v>
      </c>
      <c r="C106" s="13">
        <f>VLOOKUP(B106,Table1[[Player]:[FP/G]],7,FALSE)</f>
        <v>3.3222974257480402</v>
      </c>
      <c r="D106" s="14">
        <f>COUNT($C$6:C106)</f>
        <v>101</v>
      </c>
      <c r="E106" s="13">
        <f t="shared" si="1"/>
        <v>-1.4675762235527596</v>
      </c>
    </row>
    <row r="107" spans="2:5" x14ac:dyDescent="0.25">
      <c r="B107" s="1" t="str">
        <v>Andrew Mangiapane</v>
      </c>
      <c r="C107" s="13">
        <f>VLOOKUP(B107,Table1[[Player]:[FP/G]],7,FALSE)</f>
        <v>3.2546933142740802</v>
      </c>
      <c r="D107" s="14">
        <f>COUNT($C$6:C107)</f>
        <v>102</v>
      </c>
      <c r="E107" s="13">
        <f t="shared" si="1"/>
        <v>-1.5351803350267197</v>
      </c>
    </row>
    <row r="108" spans="2:5" x14ac:dyDescent="0.25">
      <c r="B108" s="1" t="str">
        <v>Keegan Kolesar</v>
      </c>
      <c r="C108" s="13">
        <f>VLOOKUP(B108,Table1[[Player]:[FP/G]],7,FALSE)</f>
        <v>3.23445758082031</v>
      </c>
      <c r="D108" s="14">
        <f>COUNT($C$6:C108)</f>
        <v>103</v>
      </c>
      <c r="E108" s="13">
        <f t="shared" si="1"/>
        <v>-1.5554160684804899</v>
      </c>
    </row>
    <row r="109" spans="2:5" x14ac:dyDescent="0.25">
      <c r="B109" s="1" t="str">
        <v>Andre Burakovsky</v>
      </c>
      <c r="C109" s="13">
        <f>VLOOKUP(B109,Table1[[Player]:[FP/G]],7,FALSE)</f>
        <v>3.2335711616818501</v>
      </c>
      <c r="D109" s="14">
        <f>COUNT($C$6:C109)</f>
        <v>104</v>
      </c>
      <c r="E109" s="13">
        <f t="shared" si="1"/>
        <v>-1.5563024876189497</v>
      </c>
    </row>
    <row r="110" spans="2:5" x14ac:dyDescent="0.25">
      <c r="B110" s="1" t="str">
        <v>Anthony Duclair</v>
      </c>
      <c r="C110" s="13">
        <f>VLOOKUP(B110,Table1[[Player]:[FP/G]],7,FALSE)</f>
        <v>3.2208907542337002</v>
      </c>
      <c r="D110" s="14">
        <f>COUNT($C$6:C110)</f>
        <v>105</v>
      </c>
      <c r="E110" s="13">
        <f t="shared" si="1"/>
        <v>-1.5689828950670996</v>
      </c>
    </row>
    <row r="111" spans="2:5" x14ac:dyDescent="0.25">
      <c r="B111" s="1" t="str">
        <v>Danton Heinen</v>
      </c>
      <c r="C111" s="13">
        <f>VLOOKUP(B111,Table1[[Player]:[FP/G]],7,FALSE)</f>
        <v>3.2017075258837902</v>
      </c>
      <c r="D111" s="14">
        <f>COUNT($C$6:C111)</f>
        <v>106</v>
      </c>
      <c r="E111" s="13">
        <f t="shared" si="1"/>
        <v>-1.5881661234170097</v>
      </c>
    </row>
    <row r="112" spans="2:5" x14ac:dyDescent="0.25">
      <c r="B112" s="1" t="str">
        <v>Alex Iafallo</v>
      </c>
      <c r="C112" s="13">
        <f>VLOOKUP(B112,Table1[[Player]:[FP/G]],7,FALSE)</f>
        <v>3.1819056309805398</v>
      </c>
      <c r="D112" s="14">
        <f>COUNT($C$6:C112)</f>
        <v>107</v>
      </c>
      <c r="E112" s="13">
        <f t="shared" si="1"/>
        <v>-1.60796801832026</v>
      </c>
    </row>
    <row r="113" spans="2:5" x14ac:dyDescent="0.25">
      <c r="B113" s="1" t="str">
        <v>Ryan Donato</v>
      </c>
      <c r="C113" s="13">
        <f>VLOOKUP(B113,Table1[[Player]:[FP/G]],7,FALSE)</f>
        <v>3.1597179897930299</v>
      </c>
      <c r="D113" s="14">
        <f>COUNT($C$6:C113)</f>
        <v>108</v>
      </c>
      <c r="E113" s="13">
        <f t="shared" si="1"/>
        <v>-1.63015565950777</v>
      </c>
    </row>
    <row r="114" spans="2:5" x14ac:dyDescent="0.25">
      <c r="B114" s="1" t="str">
        <v>Simon Holmstrom</v>
      </c>
      <c r="C114" s="13">
        <f>VLOOKUP(B114,Table1[[Player]:[FP/G]],7,FALSE)</f>
        <v>3.1399803742778101</v>
      </c>
      <c r="D114" s="14">
        <f>COUNT($C$6:C114)</f>
        <v>109</v>
      </c>
      <c r="E114" s="13">
        <f t="shared" si="1"/>
        <v>-1.6498932750229898</v>
      </c>
    </row>
    <row r="115" spans="2:5" x14ac:dyDescent="0.25">
      <c r="B115" s="1" t="str">
        <v>Alexander Holtz</v>
      </c>
      <c r="C115" s="13">
        <f>VLOOKUP(B115,Table1[[Player]:[FP/G]],7,FALSE)</f>
        <v>3.11135353011524</v>
      </c>
      <c r="D115" s="14">
        <f>COUNT($C$6:C115)</f>
        <v>110</v>
      </c>
      <c r="E115" s="13">
        <f t="shared" si="1"/>
        <v>-1.6785201191855599</v>
      </c>
    </row>
    <row r="116" spans="2:5" x14ac:dyDescent="0.25">
      <c r="B116" s="1" t="str">
        <v>Luke Kunin</v>
      </c>
      <c r="C116" s="13">
        <f>VLOOKUP(B116,Table1[[Player]:[FP/G]],7,FALSE)</f>
        <v>3.09341109024759</v>
      </c>
      <c r="D116" s="14">
        <f>COUNT($C$6:C116)</f>
        <v>111</v>
      </c>
      <c r="E116" s="13">
        <f t="shared" si="1"/>
        <v>-1.6964625590532099</v>
      </c>
    </row>
    <row r="117" spans="2:5" x14ac:dyDescent="0.25">
      <c r="B117" s="1" t="str">
        <v>Alex Newhook</v>
      </c>
      <c r="C117" s="13">
        <f>VLOOKUP(B117,Table1[[Player]:[FP/G]],7,FALSE)</f>
        <v>3.0827857113277002</v>
      </c>
      <c r="D117" s="14">
        <f>COUNT($C$6:C117)</f>
        <v>112</v>
      </c>
      <c r="E117" s="13">
        <f t="shared" si="1"/>
        <v>-1.7070879379730997</v>
      </c>
    </row>
    <row r="118" spans="2:5" x14ac:dyDescent="0.25">
      <c r="B118" s="1" t="str">
        <v>Jack Roslovic</v>
      </c>
      <c r="C118" s="13">
        <f>VLOOKUP(B118,Table1[[Player]:[FP/G]],7,FALSE)</f>
        <v>3.0534725274861798</v>
      </c>
      <c r="D118" s="14">
        <f>COUNT($C$6:C118)</f>
        <v>113</v>
      </c>
      <c r="E118" s="13">
        <f t="shared" si="1"/>
        <v>-1.73640112181462</v>
      </c>
    </row>
    <row r="119" spans="2:5" x14ac:dyDescent="0.25">
      <c r="B119" s="1" t="str">
        <v>Jakob Pelletier</v>
      </c>
      <c r="C119" s="13">
        <f>VLOOKUP(B119,Table1[[Player]:[FP/G]],7,FALSE)</f>
        <v>3.03799154358112</v>
      </c>
      <c r="D119" s="14">
        <f>COUNT($C$6:C119)</f>
        <v>114</v>
      </c>
      <c r="E119" s="13">
        <f t="shared" si="1"/>
        <v>-1.7518821057196798</v>
      </c>
    </row>
    <row r="120" spans="2:5" x14ac:dyDescent="0.25">
      <c r="B120" s="1" t="str">
        <v>Victor Olofsson</v>
      </c>
      <c r="C120" s="13">
        <f>VLOOKUP(B120,Table1[[Player]:[FP/G]],7,FALSE)</f>
        <v>3.0292329280688102</v>
      </c>
      <c r="D120" s="14">
        <f>COUNT($C$6:C120)</f>
        <v>115</v>
      </c>
      <c r="E120" s="13">
        <f t="shared" si="1"/>
        <v>-1.7606407212319897</v>
      </c>
    </row>
    <row r="121" spans="2:5" x14ac:dyDescent="0.25">
      <c r="B121" s="1" t="str">
        <v>Anthony Beauvillier</v>
      </c>
      <c r="C121" s="13">
        <f>VLOOKUP(B121,Table1[[Player]:[FP/G]],7,FALSE)</f>
        <v>3.0082659888513299</v>
      </c>
      <c r="D121" s="14">
        <f>COUNT($C$6:C121)</f>
        <v>116</v>
      </c>
      <c r="E121" s="13">
        <f t="shared" si="1"/>
        <v>-1.7816076604494699</v>
      </c>
    </row>
    <row r="122" spans="2:5" x14ac:dyDescent="0.25">
      <c r="B122" s="1" t="str">
        <v>Michael Carcone</v>
      </c>
      <c r="C122" s="13">
        <f>VLOOKUP(B122,Table1[[Player]:[FP/G]],7,FALSE)</f>
        <v>2.9912443379907998</v>
      </c>
      <c r="D122" s="14">
        <f>COUNT($C$6:C122)</f>
        <v>117</v>
      </c>
      <c r="E122" s="13">
        <f t="shared" si="1"/>
        <v>-1.79862931131</v>
      </c>
    </row>
    <row r="123" spans="2:5" x14ac:dyDescent="0.25">
      <c r="B123" s="1" t="str">
        <v>Frederick Gaudreau</v>
      </c>
      <c r="C123" s="13">
        <f>VLOOKUP(B123,Table1[[Player]:[FP/G]],7,FALSE)</f>
        <v>2.98918047365592</v>
      </c>
      <c r="D123" s="14">
        <f>COUNT($C$6:C123)</f>
        <v>118</v>
      </c>
      <c r="E123" s="13">
        <f t="shared" si="1"/>
        <v>-1.8006931756448799</v>
      </c>
    </row>
    <row r="124" spans="2:5" x14ac:dyDescent="0.25">
      <c r="B124" s="1" t="str">
        <v>Trent Frederic</v>
      </c>
      <c r="C124" s="13">
        <f>VLOOKUP(B124,Table1[[Player]:[FP/G]],7,FALSE)</f>
        <v>2.9831298453577699</v>
      </c>
      <c r="D124" s="14">
        <f>COUNT($C$6:C124)</f>
        <v>119</v>
      </c>
      <c r="E124" s="13">
        <f t="shared" si="1"/>
        <v>-1.8067438039430299</v>
      </c>
    </row>
    <row r="125" spans="2:5" x14ac:dyDescent="0.25">
      <c r="B125" s="1" t="str">
        <v>Josh Anderson</v>
      </c>
      <c r="C125" s="13">
        <f>VLOOKUP(B125,Table1[[Player]:[FP/G]],7,FALSE)</f>
        <v>2.98108588344193</v>
      </c>
      <c r="D125" s="14">
        <f>COUNT($C$6:C125)</f>
        <v>120</v>
      </c>
      <c r="E125" s="13">
        <f t="shared" si="1"/>
        <v>-1.8087877658588698</v>
      </c>
    </row>
    <row r="126" spans="2:5" x14ac:dyDescent="0.25">
      <c r="B126" s="1" t="str">
        <v>Daniel Sprong</v>
      </c>
      <c r="C126" s="13">
        <f>VLOOKUP(B126,Table1[[Player]:[FP/G]],7,FALSE)</f>
        <v>2.9671352225432401</v>
      </c>
      <c r="D126" s="14">
        <f>COUNT($C$6:C126)</f>
        <v>121</v>
      </c>
      <c r="E126" s="13">
        <f t="shared" si="1"/>
        <v>-1.8227384267575597</v>
      </c>
    </row>
    <row r="127" spans="2:5" x14ac:dyDescent="0.25">
      <c r="B127" s="1" t="str">
        <v>Connor Brown</v>
      </c>
      <c r="C127" s="13">
        <f>VLOOKUP(B127,Table1[[Player]:[FP/G]],7,FALSE)</f>
        <v>2.9252182081263398</v>
      </c>
      <c r="D127" s="14">
        <f>COUNT($C$6:C127)</f>
        <v>122</v>
      </c>
      <c r="E127" s="13">
        <f t="shared" si="1"/>
        <v>-1.86465544117446</v>
      </c>
    </row>
    <row r="128" spans="2:5" x14ac:dyDescent="0.25">
      <c r="B128" s="1" t="str">
        <v>Mason Appleton</v>
      </c>
      <c r="C128" s="13">
        <f>VLOOKUP(B128,Table1[[Player]:[FP/G]],7,FALSE)</f>
        <v>2.9043459274069501</v>
      </c>
      <c r="D128" s="14">
        <f>COUNT($C$6:C128)</f>
        <v>123</v>
      </c>
      <c r="E128" s="13">
        <f t="shared" si="1"/>
        <v>-1.8855277218938498</v>
      </c>
    </row>
    <row r="129" spans="2:5" x14ac:dyDescent="0.25">
      <c r="B129" s="1" t="str">
        <v>Peyton Krebs</v>
      </c>
      <c r="C129" s="13">
        <f>VLOOKUP(B129,Table1[[Player]:[FP/G]],7,FALSE)</f>
        <v>2.8475557131967499</v>
      </c>
      <c r="D129" s="14">
        <f>COUNT($C$6:C129)</f>
        <v>124</v>
      </c>
      <c r="E129" s="13">
        <f t="shared" si="1"/>
        <v>-1.9423179361040499</v>
      </c>
    </row>
    <row r="130" spans="2:5" x14ac:dyDescent="0.25">
      <c r="B130" s="1" t="str">
        <v>Evgenii Dadonov</v>
      </c>
      <c r="C130" s="13">
        <f>VLOOKUP(B130,Table1[[Player]:[FP/G]],7,FALSE)</f>
        <v>2.83108926998074</v>
      </c>
      <c r="D130" s="14">
        <f>COUNT($C$6:C130)</f>
        <v>125</v>
      </c>
      <c r="E130" s="13">
        <f t="shared" si="1"/>
        <v>-1.9587843793200599</v>
      </c>
    </row>
    <row r="131" spans="2:5" x14ac:dyDescent="0.25">
      <c r="B131" s="1" t="str">
        <v>Mathieu Olivier</v>
      </c>
      <c r="C131" s="13">
        <f>VLOOKUP(B131,Table1[[Player]:[FP/G]],7,FALSE)</f>
        <v>2.8129478367307201</v>
      </c>
      <c r="D131" s="14">
        <f>COUNT($C$6:C131)</f>
        <v>126</v>
      </c>
      <c r="E131" s="13">
        <f t="shared" si="1"/>
        <v>-1.9769258125700797</v>
      </c>
    </row>
    <row r="132" spans="2:5" x14ac:dyDescent="0.25">
      <c r="B132" s="1" t="str">
        <v>Garnet Hathaway</v>
      </c>
      <c r="C132" s="13">
        <f>VLOOKUP(B132,Table1[[Player]:[FP/G]],7,FALSE)</f>
        <v>2.8013992659096898</v>
      </c>
      <c r="D132" s="14">
        <f>COUNT($C$6:C132)</f>
        <v>127</v>
      </c>
      <c r="E132" s="13">
        <f t="shared" si="1"/>
        <v>-1.98847438339111</v>
      </c>
    </row>
    <row r="133" spans="2:5" x14ac:dyDescent="0.25">
      <c r="B133" s="1" t="str">
        <v>Anthony Mantha</v>
      </c>
      <c r="C133" s="13">
        <f>VLOOKUP(B133,Table1[[Player]:[FP/G]],7,FALSE)</f>
        <v>2.7773313857600499</v>
      </c>
      <c r="D133" s="14">
        <f>COUNT($C$6:C133)</f>
        <v>128</v>
      </c>
      <c r="E133" s="13">
        <f t="shared" si="1"/>
        <v>-2.0125422635407499</v>
      </c>
    </row>
    <row r="134" spans="2:5" x14ac:dyDescent="0.25">
      <c r="B134" s="1" t="str">
        <v>Brandon Duhaime</v>
      </c>
      <c r="C134" s="13">
        <f>VLOOKUP(B134,Table1[[Player]:[FP/G]],7,FALSE)</f>
        <v>2.7701790868243101</v>
      </c>
      <c r="D134" s="14">
        <f>COUNT($C$6:C134)</f>
        <v>129</v>
      </c>
      <c r="E134" s="13">
        <f t="shared" si="1"/>
        <v>-2.0196945624764897</v>
      </c>
    </row>
    <row r="135" spans="2:5" x14ac:dyDescent="0.25">
      <c r="B135" s="1" t="str">
        <v>Logan OConnor</v>
      </c>
      <c r="C135" s="13">
        <f>VLOOKUP(B135,Table1[[Player]:[FP/G]],7,FALSE)</f>
        <v>2.7474528227158999</v>
      </c>
      <c r="D135" s="14">
        <f>COUNT($C$6:C135)</f>
        <v>130</v>
      </c>
      <c r="E135" s="13">
        <f t="shared" ref="E135:E198" si="2">C135-VLOOKUP($C$3,$B$6:$D$187,2,FALSE)</f>
        <v>-2.0424208265849</v>
      </c>
    </row>
    <row r="136" spans="2:5" x14ac:dyDescent="0.25">
      <c r="B136" s="1" t="str">
        <v>Jonatan Berggren</v>
      </c>
      <c r="C136" s="13">
        <f>VLOOKUP(B136,Table1[[Player]:[FP/G]],7,FALSE)</f>
        <v>2.72296343716171</v>
      </c>
      <c r="D136" s="14">
        <f>COUNT($C$6:C136)</f>
        <v>131</v>
      </c>
      <c r="E136" s="13">
        <f t="shared" si="2"/>
        <v>-2.0669102121390899</v>
      </c>
    </row>
    <row r="137" spans="2:5" x14ac:dyDescent="0.25">
      <c r="B137" s="1" t="str">
        <v>Jesper Boqvist</v>
      </c>
      <c r="C137" s="13">
        <f>VLOOKUP(B137,Table1[[Player]:[FP/G]],7,FALSE)</f>
        <v>2.7160518307900898</v>
      </c>
      <c r="D137" s="14">
        <f>COUNT($C$6:C137)</f>
        <v>132</v>
      </c>
      <c r="E137" s="13">
        <f t="shared" si="2"/>
        <v>-2.07382181851071</v>
      </c>
    </row>
    <row r="138" spans="2:5" x14ac:dyDescent="0.25">
      <c r="B138" s="1" t="str">
        <v>Mikey Eyssimont</v>
      </c>
      <c r="C138" s="13">
        <f>VLOOKUP(B138,Table1[[Player]:[FP/G]],7,FALSE)</f>
        <v>2.7126845974926099</v>
      </c>
      <c r="D138" s="14">
        <f>COUNT($C$6:C138)</f>
        <v>133</v>
      </c>
      <c r="E138" s="13">
        <f t="shared" si="2"/>
        <v>-2.0771890518081899</v>
      </c>
    </row>
    <row r="139" spans="2:5" x14ac:dyDescent="0.25">
      <c r="B139" s="1" t="str">
        <v>Phillip Tomasino</v>
      </c>
      <c r="C139" s="13">
        <f>VLOOKUP(B139,Table1[[Player]:[FP/G]],7,FALSE)</f>
        <v>2.6912639339664102</v>
      </c>
      <c r="D139" s="14">
        <f>COUNT($C$6:C139)</f>
        <v>134</v>
      </c>
      <c r="E139" s="13">
        <f t="shared" si="2"/>
        <v>-2.0986097153343897</v>
      </c>
    </row>
    <row r="140" spans="2:5" x14ac:dyDescent="0.25">
      <c r="B140" s="1" t="str">
        <v>Arthur Kaliyev</v>
      </c>
      <c r="C140" s="13">
        <f>VLOOKUP(B140,Table1[[Player]:[FP/G]],7,FALSE)</f>
        <v>2.67795849949922</v>
      </c>
      <c r="D140" s="14">
        <f>COUNT($C$6:C140)</f>
        <v>135</v>
      </c>
      <c r="E140" s="13">
        <f t="shared" si="2"/>
        <v>-2.1119151498015798</v>
      </c>
    </row>
    <row r="141" spans="2:5" x14ac:dyDescent="0.25">
      <c r="B141" s="1" t="str">
        <v>Cody Glass</v>
      </c>
      <c r="C141" s="13">
        <f>VLOOKUP(B141,Table1[[Player]:[FP/G]],7,FALSE)</f>
        <v>2.6432550520184899</v>
      </c>
      <c r="D141" s="14">
        <f>COUNT($C$6:C141)</f>
        <v>136</v>
      </c>
      <c r="E141" s="13">
        <f t="shared" si="2"/>
        <v>-2.14661859728231</v>
      </c>
    </row>
    <row r="142" spans="2:5" x14ac:dyDescent="0.25">
      <c r="B142" s="1" t="str">
        <v>Brandon Tanev</v>
      </c>
      <c r="C142" s="13">
        <f>VLOOKUP(B142,Table1[[Player]:[FP/G]],7,FALSE)</f>
        <v>2.6079148402170298</v>
      </c>
      <c r="D142" s="14">
        <f>COUNT($C$6:C142)</f>
        <v>137</v>
      </c>
      <c r="E142" s="13">
        <f t="shared" si="2"/>
        <v>-2.18195880908377</v>
      </c>
    </row>
    <row r="143" spans="2:5" x14ac:dyDescent="0.25">
      <c r="B143" s="1" t="str">
        <v>Cole Smith</v>
      </c>
      <c r="C143" s="13">
        <f>VLOOKUP(B143,Table1[[Player]:[FP/G]],7,FALSE)</f>
        <v>2.6075024815918901</v>
      </c>
      <c r="D143" s="14">
        <f>COUNT($C$6:C143)</f>
        <v>138</v>
      </c>
      <c r="E143" s="13">
        <f t="shared" si="2"/>
        <v>-2.1823711677089097</v>
      </c>
    </row>
    <row r="144" spans="2:5" x14ac:dyDescent="0.25">
      <c r="B144" s="1" t="str">
        <v>Mathieu Joseph</v>
      </c>
      <c r="C144" s="13">
        <f>VLOOKUP(B144,Table1[[Player]:[FP/G]],7,FALSE)</f>
        <v>2.58438982481935</v>
      </c>
      <c r="D144" s="14">
        <f>COUNT($C$6:C144)</f>
        <v>139</v>
      </c>
      <c r="E144" s="13">
        <f t="shared" si="2"/>
        <v>-2.2054838244814499</v>
      </c>
    </row>
    <row r="145" spans="2:5" x14ac:dyDescent="0.25">
      <c r="B145" s="1" t="str">
        <v>Tanner Jeannot</v>
      </c>
      <c r="C145" s="13">
        <f>VLOOKUP(B145,Table1[[Player]:[FP/G]],7,FALSE)</f>
        <v>2.5732747884050702</v>
      </c>
      <c r="D145" s="14">
        <f>COUNT($C$6:C145)</f>
        <v>140</v>
      </c>
      <c r="E145" s="13">
        <f t="shared" si="2"/>
        <v>-2.2165988608957297</v>
      </c>
    </row>
    <row r="146" spans="2:5" x14ac:dyDescent="0.25">
      <c r="B146" s="1" t="str">
        <v>Justin Danforth</v>
      </c>
      <c r="C146" s="13">
        <f>VLOOKUP(B146,Table1[[Player]:[FP/G]],7,FALSE)</f>
        <v>2.5663379110615501</v>
      </c>
      <c r="D146" s="14">
        <f>COUNT($C$6:C146)</f>
        <v>141</v>
      </c>
      <c r="E146" s="13">
        <f t="shared" si="2"/>
        <v>-2.2235357382392498</v>
      </c>
    </row>
    <row r="147" spans="2:5" x14ac:dyDescent="0.25">
      <c r="B147" s="1" t="str">
        <v>Sam Lafferty</v>
      </c>
      <c r="C147" s="13">
        <f>VLOOKUP(B147,Table1[[Player]:[FP/G]],7,FALSE)</f>
        <v>2.5209544771149499</v>
      </c>
      <c r="D147" s="14">
        <f>COUNT($C$6:C147)</f>
        <v>142</v>
      </c>
      <c r="E147" s="13">
        <f t="shared" si="2"/>
        <v>-2.2689191721858499</v>
      </c>
    </row>
    <row r="148" spans="2:5" x14ac:dyDescent="0.25">
      <c r="B148" s="1" t="str">
        <v>Jimmy Vesey</v>
      </c>
      <c r="C148" s="13">
        <f>VLOOKUP(B148,Table1[[Player]:[FP/G]],7,FALSE)</f>
        <v>2.4794279979820399</v>
      </c>
      <c r="D148" s="14">
        <f>COUNT($C$6:C148)</f>
        <v>143</v>
      </c>
      <c r="E148" s="13">
        <f t="shared" si="2"/>
        <v>-2.3104456513187599</v>
      </c>
    </row>
    <row r="149" spans="2:5" x14ac:dyDescent="0.25">
      <c r="B149" s="1" t="str">
        <v>Barclay Goodrow</v>
      </c>
      <c r="C149" s="13">
        <f>VLOOKUP(B149,Table1[[Player]:[FP/G]],7,FALSE)</f>
        <v>2.4774887929183098</v>
      </c>
      <c r="D149" s="14">
        <f>COUNT($C$6:C149)</f>
        <v>144</v>
      </c>
      <c r="E149" s="13">
        <f t="shared" si="2"/>
        <v>-2.31238485638249</v>
      </c>
    </row>
    <row r="150" spans="2:5" x14ac:dyDescent="0.25">
      <c r="B150" s="1" t="str">
        <v>William Carrier</v>
      </c>
      <c r="C150" s="13">
        <f>VLOOKUP(B150,Table1[[Player]:[FP/G]],7,FALSE)</f>
        <v>2.4739877931872001</v>
      </c>
      <c r="D150" s="14">
        <f>COUNT($C$6:C150)</f>
        <v>145</v>
      </c>
      <c r="E150" s="13">
        <f t="shared" si="2"/>
        <v>-2.3158858561135998</v>
      </c>
    </row>
    <row r="151" spans="2:5" x14ac:dyDescent="0.25">
      <c r="B151" s="1" t="str">
        <v>Carl Grundstrom</v>
      </c>
      <c r="C151" s="13">
        <f>VLOOKUP(B151,Table1[[Player]:[FP/G]],7,FALSE)</f>
        <v>2.4532595160569102</v>
      </c>
      <c r="D151" s="14">
        <f>COUNT($C$6:C151)</f>
        <v>146</v>
      </c>
      <c r="E151" s="13">
        <f t="shared" si="2"/>
        <v>-2.3366141332438897</v>
      </c>
    </row>
    <row r="152" spans="2:5" x14ac:dyDescent="0.25">
      <c r="B152" s="1" t="str">
        <v>Yakov Trenin</v>
      </c>
      <c r="C152" s="13">
        <f>VLOOKUP(B152,Table1[[Player]:[FP/G]],7,FALSE)</f>
        <v>2.4512708564577399</v>
      </c>
      <c r="D152" s="14">
        <f>COUNT($C$6:C152)</f>
        <v>147</v>
      </c>
      <c r="E152" s="13">
        <f t="shared" si="2"/>
        <v>-2.3386027928430599</v>
      </c>
    </row>
    <row r="153" spans="2:5" x14ac:dyDescent="0.25">
      <c r="B153" s="1" t="str">
        <v>Michael Amadio</v>
      </c>
      <c r="C153" s="13">
        <f>VLOOKUP(B153,Table1[[Player]:[FP/G]],7,FALSE)</f>
        <v>2.4188693966183901</v>
      </c>
      <c r="D153" s="14">
        <f>COUNT($C$6:C153)</f>
        <v>148</v>
      </c>
      <c r="E153" s="13">
        <f t="shared" si="2"/>
        <v>-2.3710042526824098</v>
      </c>
    </row>
    <row r="154" spans="2:5" x14ac:dyDescent="0.25">
      <c r="B154" s="1" t="str">
        <v>Calle Jarnkrok</v>
      </c>
      <c r="C154" s="13">
        <f>VLOOKUP(B154,Table1[[Player]:[FP/G]],7,FALSE)</f>
        <v>2.394019917429</v>
      </c>
      <c r="D154" s="14">
        <f>COUNT($C$6:C154)</f>
        <v>149</v>
      </c>
      <c r="E154" s="13">
        <f t="shared" si="2"/>
        <v>-2.3958537318717998</v>
      </c>
    </row>
    <row r="155" spans="2:5" x14ac:dyDescent="0.25">
      <c r="B155" s="1" t="str">
        <v>Alexei Toropchenko</v>
      </c>
      <c r="C155" s="13">
        <f>VLOOKUP(B155,Table1[[Player]:[FP/G]],7,FALSE)</f>
        <v>2.3745236829926499</v>
      </c>
      <c r="D155" s="14">
        <f>COUNT($C$6:C155)</f>
        <v>150</v>
      </c>
      <c r="E155" s="13">
        <f t="shared" si="2"/>
        <v>-2.4153499663081499</v>
      </c>
    </row>
    <row r="156" spans="2:5" x14ac:dyDescent="0.25">
      <c r="B156" s="1" t="str">
        <v>Ilya Mikheyev</v>
      </c>
      <c r="C156" s="13">
        <f>VLOOKUP(B156,Table1[[Player]:[FP/G]],7,FALSE)</f>
        <v>2.3607754158217702</v>
      </c>
      <c r="D156" s="14">
        <f>COUNT($C$6:C156)</f>
        <v>151</v>
      </c>
      <c r="E156" s="13">
        <f t="shared" si="2"/>
        <v>-2.4290982334790296</v>
      </c>
    </row>
    <row r="157" spans="2:5" x14ac:dyDescent="0.25">
      <c r="B157" s="1" t="str">
        <v>Tyler Motte</v>
      </c>
      <c r="C157" s="13">
        <f>VLOOKUP(B157,Table1[[Player]:[FP/G]],7,FALSE)</f>
        <v>2.35328018016902</v>
      </c>
      <c r="D157" s="14">
        <f>COUNT($C$6:C157)</f>
        <v>152</v>
      </c>
      <c r="E157" s="13">
        <f t="shared" si="2"/>
        <v>-2.4365934691317799</v>
      </c>
    </row>
    <row r="158" spans="2:5" x14ac:dyDescent="0.25">
      <c r="B158" s="1" t="str">
        <v>Joel Armia</v>
      </c>
      <c r="C158" s="13">
        <f>VLOOKUP(B158,Table1[[Player]:[FP/G]],7,FALSE)</f>
        <v>2.3400550918316099</v>
      </c>
      <c r="D158" s="14">
        <f>COUNT($C$6:C158)</f>
        <v>153</v>
      </c>
      <c r="E158" s="13">
        <f t="shared" si="2"/>
        <v>-2.44981855746919</v>
      </c>
    </row>
    <row r="159" spans="2:5" x14ac:dyDescent="0.25">
      <c r="B159" s="1" t="str">
        <v>Taylor Raddysh</v>
      </c>
      <c r="C159" s="13">
        <f>VLOOKUP(B159,Table1[[Player]:[FP/G]],7,FALSE)</f>
        <v>2.3299238733286902</v>
      </c>
      <c r="D159" s="14">
        <f>COUNT($C$6:C159)</f>
        <v>154</v>
      </c>
      <c r="E159" s="13">
        <f t="shared" si="2"/>
        <v>-2.4599497759721096</v>
      </c>
    </row>
    <row r="160" spans="2:5" x14ac:dyDescent="0.25">
      <c r="B160" s="1" t="str">
        <v>Noel Acciari</v>
      </c>
      <c r="C160" s="13">
        <f>VLOOKUP(B160,Table1[[Player]:[FP/G]],7,FALSE)</f>
        <v>2.2569926587376901</v>
      </c>
      <c r="D160" s="14">
        <f>COUNT($C$6:C160)</f>
        <v>155</v>
      </c>
      <c r="E160" s="13">
        <f t="shared" si="2"/>
        <v>-2.5328809905631098</v>
      </c>
    </row>
    <row r="161" spans="2:5" x14ac:dyDescent="0.25">
      <c r="B161" s="1" t="str">
        <v>Brendan Gallagher</v>
      </c>
      <c r="C161" s="13">
        <f>VLOOKUP(B161,Table1[[Player]:[FP/G]],7,FALSE)</f>
        <v>2.2549974884504098</v>
      </c>
      <c r="D161" s="14">
        <f>COUNT($C$6:C161)</f>
        <v>156</v>
      </c>
      <c r="E161" s="13">
        <f t="shared" si="2"/>
        <v>-2.53487616085039</v>
      </c>
    </row>
    <row r="162" spans="2:5" x14ac:dyDescent="0.25">
      <c r="B162" s="1" t="str">
        <v>Corey Perry</v>
      </c>
      <c r="C162" s="13">
        <f>VLOOKUP(B162,Table1[[Player]:[FP/G]],7,FALSE)</f>
        <v>2.1365176162113002</v>
      </c>
      <c r="D162" s="14">
        <f>COUNT($C$6:C162)</f>
        <v>157</v>
      </c>
      <c r="E162" s="13">
        <f t="shared" si="2"/>
        <v>-2.6533560330894996</v>
      </c>
    </row>
    <row r="163" spans="2:5" x14ac:dyDescent="0.25">
      <c r="B163" s="1" t="str">
        <v>Nathan Bastian</v>
      </c>
      <c r="C163" s="13">
        <f>VLOOKUP(B163,Table1[[Player]:[FP/G]],7,FALSE)</f>
        <v>2.1301146974447902</v>
      </c>
      <c r="D163" s="14">
        <f>COUNT($C$6:C163)</f>
        <v>158</v>
      </c>
      <c r="E163" s="13">
        <f t="shared" si="2"/>
        <v>-2.6597589518560096</v>
      </c>
    </row>
    <row r="164" spans="2:5" x14ac:dyDescent="0.25">
      <c r="B164" s="1" t="str">
        <v>Nathan Walker</v>
      </c>
      <c r="C164" s="13">
        <f>VLOOKUP(B164,Table1[[Player]:[FP/G]],7,FALSE)</f>
        <v>2.1038067643073699</v>
      </c>
      <c r="D164" s="14">
        <f>COUNT($C$6:C164)</f>
        <v>159</v>
      </c>
      <c r="E164" s="13">
        <f t="shared" si="2"/>
        <v>-2.6860668849934299</v>
      </c>
    </row>
    <row r="165" spans="2:5" x14ac:dyDescent="0.25">
      <c r="B165" s="1" t="str">
        <v>Kasperi Kapanen</v>
      </c>
      <c r="C165" s="13">
        <f>VLOOKUP(B165,Table1[[Player]:[FP/G]],7,FALSE)</f>
        <v>2.0769498443659602</v>
      </c>
      <c r="D165" s="14">
        <f>COUNT($C$6:C165)</f>
        <v>160</v>
      </c>
      <c r="E165" s="13">
        <f t="shared" si="2"/>
        <v>-2.7129238049348396</v>
      </c>
    </row>
    <row r="166" spans="2:5" x14ac:dyDescent="0.25">
      <c r="B166" s="1" t="str">
        <v>Michael Pezzetta</v>
      </c>
      <c r="C166" s="13">
        <f>VLOOKUP(B166,Table1[[Player]:[FP/G]],7,FALSE)</f>
        <v>1.9845152859488799</v>
      </c>
      <c r="D166" s="14">
        <f>COUNT($C$6:C166)</f>
        <v>161</v>
      </c>
      <c r="E166" s="13">
        <f t="shared" si="2"/>
        <v>-2.8053583633519201</v>
      </c>
    </row>
    <row r="167" spans="2:5" x14ac:dyDescent="0.25">
      <c r="B167" s="1" t="str">
        <v>Curtis Lazar</v>
      </c>
      <c r="C167" s="13">
        <f>VLOOKUP(B167,Table1[[Player]:[FP/G]],7,FALSE)</f>
        <v>1.95075009407528</v>
      </c>
      <c r="D167" s="14">
        <f>COUNT($C$6:C167)</f>
        <v>162</v>
      </c>
      <c r="E167" s="13">
        <f t="shared" si="2"/>
        <v>-2.8391235552255196</v>
      </c>
    </row>
    <row r="168" spans="2:5" x14ac:dyDescent="0.25">
      <c r="B168" s="1" t="str">
        <v>Jonny Brodzinski</v>
      </c>
      <c r="C168" s="13">
        <f>VLOOKUP(B168,Table1[[Player]:[FP/G]],7,FALSE)</f>
        <v>1.93437875260729</v>
      </c>
      <c r="D168" s="14">
        <f>COUNT($C$6:C168)</f>
        <v>163</v>
      </c>
      <c r="E168" s="13">
        <f t="shared" si="2"/>
        <v>-2.8554948966935099</v>
      </c>
    </row>
    <row r="169" spans="2:5" x14ac:dyDescent="0.25">
      <c r="B169" s="1" t="str">
        <v>Jesse Puljujarvi</v>
      </c>
      <c r="C169" s="13">
        <f>VLOOKUP(B169,Table1[[Player]:[FP/G]],7,FALSE)</f>
        <v>1.9337747162514001</v>
      </c>
      <c r="D169" s="14">
        <f>COUNT($C$6:C169)</f>
        <v>164</v>
      </c>
      <c r="E169" s="13">
        <f t="shared" si="2"/>
        <v>-2.8560989330493998</v>
      </c>
    </row>
    <row r="170" spans="2:5" x14ac:dyDescent="0.25">
      <c r="B170" s="1" t="str">
        <v>Mark Kastelic</v>
      </c>
      <c r="C170" s="13">
        <f>VLOOKUP(B170,Table1[[Player]:[FP/G]],7,FALSE)</f>
        <v>1.9210485183436801</v>
      </c>
      <c r="D170" s="14">
        <f>COUNT($C$6:C170)</f>
        <v>165</v>
      </c>
      <c r="E170" s="13">
        <f t="shared" si="2"/>
        <v>-2.86882513095712</v>
      </c>
    </row>
    <row r="171" spans="2:5" x14ac:dyDescent="0.25">
      <c r="B171" s="1" t="str">
        <v>Samuel Poulin</v>
      </c>
      <c r="C171" s="13">
        <f>VLOOKUP(B171,Table1[[Player]:[FP/G]],7,FALSE)</f>
        <v>1.81085758184152</v>
      </c>
      <c r="D171" s="14">
        <f>COUNT($C$6:C171)</f>
        <v>166</v>
      </c>
      <c r="E171" s="13">
        <f t="shared" si="2"/>
        <v>-2.9790160674592796</v>
      </c>
    </row>
    <row r="172" spans="2:5" x14ac:dyDescent="0.25">
      <c r="B172" s="1" t="str">
        <v>Brett Leason</v>
      </c>
      <c r="C172" s="13">
        <f>VLOOKUP(B172,Table1[[Player]:[FP/G]],7,FALSE)</f>
        <v>1.8091467755591</v>
      </c>
      <c r="D172" s="14">
        <f>COUNT($C$6:C172)</f>
        <v>167</v>
      </c>
      <c r="E172" s="13">
        <f t="shared" si="2"/>
        <v>-2.9807268737417001</v>
      </c>
    </row>
    <row r="173" spans="2:5" x14ac:dyDescent="0.25">
      <c r="B173" s="1" t="str">
        <v>Ty Dellandrea</v>
      </c>
      <c r="C173" s="13">
        <f>VLOOKUP(B173,Table1[[Player]:[FP/G]],7,FALSE)</f>
        <v>1.8004141548539601</v>
      </c>
      <c r="D173" s="14">
        <f>COUNT($C$6:C173)</f>
        <v>168</v>
      </c>
      <c r="E173" s="13">
        <f t="shared" si="2"/>
        <v>-2.98945949444684</v>
      </c>
    </row>
    <row r="174" spans="2:5" x14ac:dyDescent="0.25">
      <c r="B174" s="1" t="str">
        <v>Colin Blackwell</v>
      </c>
      <c r="C174" s="13">
        <f>VLOOKUP(B174,Table1[[Player]:[FP/G]],7,FALSE)</f>
        <v>1.7843059295495001</v>
      </c>
      <c r="D174" s="14">
        <f>COUNT($C$6:C174)</f>
        <v>169</v>
      </c>
      <c r="E174" s="13">
        <f t="shared" si="2"/>
        <v>-3.0055677197512995</v>
      </c>
    </row>
    <row r="175" spans="2:5" x14ac:dyDescent="0.25">
      <c r="B175" s="1" t="str">
        <v>Joel Kiviranta</v>
      </c>
      <c r="C175" s="13">
        <f>VLOOKUP(B175,Table1[[Player]:[FP/G]],7,FALSE)</f>
        <v>1.7723741183822601</v>
      </c>
      <c r="D175" s="14">
        <f>COUNT($C$6:C175)</f>
        <v>170</v>
      </c>
      <c r="E175" s="13">
        <f t="shared" si="2"/>
        <v>-3.0174995309185397</v>
      </c>
    </row>
    <row r="176" spans="2:5" x14ac:dyDescent="0.25">
      <c r="B176" s="1" t="str">
        <v>Hudson Fasching</v>
      </c>
      <c r="C176" s="13">
        <f>VLOOKUP(B176,Table1[[Player]:[FP/G]],7,FALSE)</f>
        <v>1.7228057500403899</v>
      </c>
      <c r="D176" s="14">
        <f>COUNT($C$6:C176)</f>
        <v>171</v>
      </c>
      <c r="E176" s="13">
        <f t="shared" si="2"/>
        <v>-3.0670678992604099</v>
      </c>
    </row>
    <row r="177" spans="2:5" x14ac:dyDescent="0.25">
      <c r="B177" s="1" t="str">
        <v>Jonah Gadjovich</v>
      </c>
      <c r="C177" s="13">
        <f>VLOOKUP(B177,Table1[[Player]:[FP/G]],7,FALSE)</f>
        <v>1.6658125120259599</v>
      </c>
      <c r="D177" s="14">
        <f>COUNT($C$6:C177)</f>
        <v>172</v>
      </c>
      <c r="E177" s="13">
        <f t="shared" si="2"/>
        <v>-3.1240611372748397</v>
      </c>
    </row>
    <row r="178" spans="2:5" x14ac:dyDescent="0.25">
      <c r="B178" s="1" t="str">
        <v>Vinnie Hinostroza</v>
      </c>
      <c r="C178" s="13">
        <f>VLOOKUP(B178,Table1[[Player]:[FP/G]],7,FALSE)</f>
        <v>1.6552384671923399</v>
      </c>
      <c r="D178" s="14">
        <f>COUNT($C$6:C178)</f>
        <v>173</v>
      </c>
      <c r="E178" s="13">
        <f t="shared" si="2"/>
        <v>-3.1346351821084601</v>
      </c>
    </row>
    <row r="179" spans="2:5" x14ac:dyDescent="0.25">
      <c r="B179" s="1" t="str">
        <v>Olle Lycksell</v>
      </c>
      <c r="C179" s="13">
        <f>VLOOKUP(B179,Table1[[Player]:[FP/G]],7,FALSE)</f>
        <v>1.6450140387159999</v>
      </c>
      <c r="D179" s="14">
        <f>COUNT($C$6:C179)</f>
        <v>174</v>
      </c>
      <c r="E179" s="13">
        <f t="shared" si="2"/>
        <v>-3.1448596105847999</v>
      </c>
    </row>
    <row r="180" spans="2:5" x14ac:dyDescent="0.25">
      <c r="B180" s="1" t="str">
        <v>Rafael Harvey-Pinard</v>
      </c>
      <c r="C180" s="13">
        <f>VLOOKUP(B180,Table1[[Player]:[FP/G]],7,FALSE)</f>
        <v>1.58106715941561</v>
      </c>
      <c r="D180" s="14">
        <f>COUNT($C$6:C180)</f>
        <v>175</v>
      </c>
      <c r="E180" s="13">
        <f t="shared" si="2"/>
        <v>-3.2088064898851898</v>
      </c>
    </row>
    <row r="181" spans="2:5" x14ac:dyDescent="0.25">
      <c r="B181" s="1" t="str">
        <v>Trevor Lewis</v>
      </c>
      <c r="C181" s="13">
        <f>VLOOKUP(B181,Table1[[Player]:[FP/G]],7,FALSE)</f>
        <v>1.5795558485542101</v>
      </c>
      <c r="D181" s="14">
        <f>COUNT($C$6:C181)</f>
        <v>176</v>
      </c>
      <c r="E181" s="13">
        <f t="shared" si="2"/>
        <v>-3.2103178007465898</v>
      </c>
    </row>
    <row r="182" spans="2:5" x14ac:dyDescent="0.25">
      <c r="B182" s="1" t="str">
        <v>Conor Sheary</v>
      </c>
      <c r="C182" s="13">
        <f>VLOOKUP(B182,Table1[[Player]:[FP/G]],7,FALSE)</f>
        <v>1.5496189298827201</v>
      </c>
      <c r="D182" s="14">
        <f>COUNT($C$6:C182)</f>
        <v>177</v>
      </c>
      <c r="E182" s="13">
        <f t="shared" si="2"/>
        <v>-3.24025471941808</v>
      </c>
    </row>
    <row r="183" spans="2:5" x14ac:dyDescent="0.25">
      <c r="B183" s="1" t="str">
        <v>Jakub Lauko</v>
      </c>
      <c r="C183" s="13">
        <f>VLOOKUP(B183,Table1[[Player]:[FP/G]],7,FALSE)</f>
        <v>1.50890977214524</v>
      </c>
      <c r="D183" s="14">
        <f>COUNT($C$6:C183)</f>
        <v>178</v>
      </c>
      <c r="E183" s="13">
        <f t="shared" si="2"/>
        <v>-3.2809638771555596</v>
      </c>
    </row>
    <row r="184" spans="2:5" x14ac:dyDescent="0.25">
      <c r="B184" s="1" t="str">
        <v>Nicolas Aube-Kubel</v>
      </c>
      <c r="C184" s="13">
        <f>VLOOKUP(B184,Table1[[Player]:[FP/G]],7,FALSE)</f>
        <v>1.49662542168576</v>
      </c>
      <c r="D184" s="14">
        <f>COUNT($C$6:C184)</f>
        <v>179</v>
      </c>
      <c r="E184" s="13">
        <f t="shared" si="2"/>
        <v>-3.2932482276150399</v>
      </c>
    </row>
    <row r="185" spans="2:5" x14ac:dyDescent="0.25">
      <c r="B185" s="1" t="str">
        <v>Steven Lorentz</v>
      </c>
      <c r="C185" s="13">
        <f>VLOOKUP(B185,Table1[[Player]:[FP/G]],7,FALSE)</f>
        <v>1.4943841119185599</v>
      </c>
      <c r="D185" s="14">
        <f>COUNT($C$6:C185)</f>
        <v>180</v>
      </c>
      <c r="E185" s="13">
        <f t="shared" si="2"/>
        <v>-3.2954895373822399</v>
      </c>
    </row>
    <row r="186" spans="2:5" x14ac:dyDescent="0.25">
      <c r="B186" s="1" t="str">
        <v>Jan Jenik</v>
      </c>
      <c r="C186" s="13">
        <f>VLOOKUP(B186,Table1[[Player]:[FP/G]],7,FALSE)</f>
        <v>1.4764819162764899</v>
      </c>
      <c r="D186" s="14">
        <f>COUNT($C$6:C186)</f>
        <v>181</v>
      </c>
      <c r="E186" s="13">
        <f t="shared" si="2"/>
        <v>-3.3133917330243099</v>
      </c>
    </row>
    <row r="187" spans="2:5" x14ac:dyDescent="0.25">
      <c r="B187" s="1" t="str">
        <v>Travis Boyd</v>
      </c>
      <c r="C187" s="13">
        <f>VLOOKUP(B187,Table1[[Player]:[FP/G]],7,FALSE)</f>
        <v>1.47349136162418</v>
      </c>
      <c r="D187" s="14">
        <f>COUNT($C$6:C187)</f>
        <v>182</v>
      </c>
      <c r="E187" s="13">
        <f t="shared" si="2"/>
        <v>-3.3163822876766198</v>
      </c>
    </row>
    <row r="188" spans="2:5" x14ac:dyDescent="0.25">
      <c r="B188" s="1" t="str">
        <v>Mikael Pyyhtia</v>
      </c>
      <c r="C188" s="13">
        <f>VLOOKUP(B188,Table1[[Player]:[FP/G]],7,FALSE)</f>
        <v>1.4687227466008399</v>
      </c>
      <c r="D188" s="14">
        <f>COUNT($C$6:C188)</f>
        <v>183</v>
      </c>
      <c r="E188" s="13">
        <f t="shared" si="2"/>
        <v>-3.3211509026999599</v>
      </c>
    </row>
    <row r="189" spans="2:5" x14ac:dyDescent="0.25">
      <c r="B189" s="1" t="str">
        <v>Alex Barre-Boulet</v>
      </c>
      <c r="C189" s="13">
        <f>VLOOKUP(B189,Table1[[Player]:[FP/G]],7,FALSE)</f>
        <v>1.4581463549966101</v>
      </c>
      <c r="D189" s="14">
        <f>COUNT($C$6:C189)</f>
        <v>184</v>
      </c>
      <c r="E189" s="13">
        <f t="shared" si="2"/>
        <v>-3.3317272943041898</v>
      </c>
    </row>
    <row r="190" spans="2:5" x14ac:dyDescent="0.25">
      <c r="B190" s="1" t="str">
        <v>Colin White</v>
      </c>
      <c r="C190" s="13">
        <f>VLOOKUP(B190,Table1[[Player]:[FP/G]],7,FALSE)</f>
        <v>1.44916366929424</v>
      </c>
      <c r="D190" s="14">
        <f>COUNT($C$6:C190)</f>
        <v>185</v>
      </c>
      <c r="E190" s="13">
        <f t="shared" si="2"/>
        <v>-3.3407099800065598</v>
      </c>
    </row>
    <row r="191" spans="2:5" x14ac:dyDescent="0.25">
      <c r="B191" s="1" t="str">
        <v>Danil Gushchin</v>
      </c>
      <c r="C191" s="13">
        <f>VLOOKUP(B191,Table1[[Player]:[FP/G]],7,FALSE)</f>
        <v>1.4435943229617301</v>
      </c>
      <c r="D191" s="14">
        <f>COUNT($C$6:C191)</f>
        <v>186</v>
      </c>
      <c r="E191" s="13">
        <f t="shared" si="2"/>
        <v>-3.3462793263390695</v>
      </c>
    </row>
    <row r="192" spans="2:5" x14ac:dyDescent="0.25">
      <c r="B192" s="1" t="str">
        <v>Zack MacEwen</v>
      </c>
      <c r="C192" s="13">
        <f>VLOOKUP(B192,Table1[[Player]:[FP/G]],7,FALSE)</f>
        <v>1.43489460411434</v>
      </c>
      <c r="D192" s="14">
        <f>COUNT($C$6:C192)</f>
        <v>187</v>
      </c>
      <c r="E192" s="13">
        <f t="shared" si="2"/>
        <v>-3.3549790451864601</v>
      </c>
    </row>
    <row r="193" spans="2:5" x14ac:dyDescent="0.25">
      <c r="B193" s="1" t="str">
        <v>Craig Smith</v>
      </c>
      <c r="C193" s="13">
        <f>VLOOKUP(B193,Table1[[Player]:[FP/G]],7,FALSE)</f>
        <v>1.41763814807743</v>
      </c>
      <c r="D193" s="14">
        <f>COUNT($C$6:C193)</f>
        <v>188</v>
      </c>
      <c r="E193" s="13">
        <f t="shared" si="2"/>
        <v>-3.3722355012233698</v>
      </c>
    </row>
    <row r="194" spans="2:5" x14ac:dyDescent="0.25">
      <c r="B194" s="1" t="str">
        <v>Walker Duehr</v>
      </c>
      <c r="C194" s="13">
        <f>VLOOKUP(B194,Table1[[Player]:[FP/G]],7,FALSE)</f>
        <v>1.41349201908302</v>
      </c>
      <c r="D194" s="14">
        <f>COUNT($C$6:C194)</f>
        <v>189</v>
      </c>
      <c r="E194" s="13">
        <f t="shared" si="2"/>
        <v>-3.3763816302177796</v>
      </c>
    </row>
    <row r="195" spans="2:5" x14ac:dyDescent="0.25">
      <c r="B195" s="1" t="str">
        <v>Julien Gauthier</v>
      </c>
      <c r="C195" s="13">
        <f>VLOOKUP(B195,Table1[[Player]:[FP/G]],7,FALSE)</f>
        <v>1.4028708035005899</v>
      </c>
      <c r="D195" s="14">
        <f>COUNT($C$6:C195)</f>
        <v>190</v>
      </c>
      <c r="E195" s="13">
        <f t="shared" si="2"/>
        <v>-3.3870028458002102</v>
      </c>
    </row>
    <row r="196" spans="2:5" x14ac:dyDescent="0.25">
      <c r="B196" s="1" t="str">
        <v>Ryan Reaves</v>
      </c>
      <c r="C196" s="13">
        <f>VLOOKUP(B196,Table1[[Player]:[FP/G]],7,FALSE)</f>
        <v>1.3796099451569701</v>
      </c>
      <c r="D196" s="14">
        <f>COUNT($C$6:C196)</f>
        <v>191</v>
      </c>
      <c r="E196" s="13">
        <f t="shared" si="2"/>
        <v>-3.41026370414383</v>
      </c>
    </row>
    <row r="197" spans="2:5" x14ac:dyDescent="0.25">
      <c r="B197" s="1" t="str">
        <v>Reese Johnson</v>
      </c>
      <c r="C197" s="13">
        <f>VLOOKUP(B197,Table1[[Player]:[FP/G]],7,FALSE)</f>
        <v>1.3490135595163799</v>
      </c>
      <c r="D197" s="14">
        <f>COUNT($C$6:C197)</f>
        <v>192</v>
      </c>
      <c r="E197" s="13">
        <f t="shared" si="2"/>
        <v>-3.4408600897844197</v>
      </c>
    </row>
    <row r="198" spans="2:5" x14ac:dyDescent="0.25">
      <c r="B198" s="1" t="str">
        <v>Givani Smith</v>
      </c>
      <c r="C198" s="13">
        <f>VLOOKUP(B198,Table1[[Player]:[FP/G]],7,FALSE)</f>
        <v>1.27004868050884</v>
      </c>
      <c r="D198" s="14">
        <f>COUNT($C$6:C198)</f>
        <v>193</v>
      </c>
      <c r="E198" s="13">
        <f t="shared" si="2"/>
        <v>-3.5198249687919598</v>
      </c>
    </row>
    <row r="199" spans="2:5" x14ac:dyDescent="0.25">
      <c r="B199" s="1" t="str">
        <v>Callahan Burke</v>
      </c>
      <c r="C199" s="13">
        <f>VLOOKUP(B199,Table1[[Player]:[FP/G]],7,FALSE)</f>
        <v>1.2687005693175299</v>
      </c>
      <c r="D199" s="14">
        <f>COUNT($C$6:C199)</f>
        <v>194</v>
      </c>
      <c r="E199" s="13">
        <f t="shared" ref="E199:E202" si="3">C199-VLOOKUP($C$3,$B$6:$D$187,2,FALSE)</f>
        <v>-3.5211730799832699</v>
      </c>
    </row>
    <row r="200" spans="2:5" x14ac:dyDescent="0.25">
      <c r="B200" s="1" t="str">
        <v>Justin Kirkland</v>
      </c>
      <c r="C200" s="13">
        <f>VLOOKUP(B200,Table1[[Player]:[FP/G]],7,FALSE)</f>
        <v>1.20943738775999</v>
      </c>
      <c r="D200" s="14">
        <f>COUNT($C$6:C200)</f>
        <v>195</v>
      </c>
      <c r="E200" s="13">
        <f t="shared" si="3"/>
        <v>-3.5804362615408101</v>
      </c>
    </row>
    <row r="201" spans="2:5" x14ac:dyDescent="0.25">
      <c r="B201" s="1" t="str">
        <v>Chris Wagner</v>
      </c>
      <c r="C201" s="13">
        <f>VLOOKUP(B201,Table1[[Player]:[FP/G]],7,FALSE)</f>
        <v>0.87044806248472395</v>
      </c>
      <c r="D201" s="14">
        <f>COUNT($C$6:C201)</f>
        <v>196</v>
      </c>
      <c r="E201" s="13">
        <f t="shared" si="3"/>
        <v>-3.9194255868160761</v>
      </c>
    </row>
    <row r="202" spans="2:5" x14ac:dyDescent="0.25">
      <c r="B202" s="1" t="str">
        <v>Joey Anderson</v>
      </c>
      <c r="C202" s="13">
        <f>VLOOKUP(B202,Table1[[Player]:[FP/G]],7,FALSE)</f>
        <v>0.69066875237922498</v>
      </c>
      <c r="D202" s="14">
        <f>COUNT($C$6:C202)</f>
        <v>197</v>
      </c>
      <c r="E202" s="13">
        <f t="shared" si="3"/>
        <v>-4.0992048969215746</v>
      </c>
    </row>
    <row r="203" spans="2:5" x14ac:dyDescent="0.25">
      <c r="B203" s="1" t="str">
        <v>Jonas Rondbjerg</v>
      </c>
      <c r="C203" s="13">
        <f>VLOOKUP(B203,Table1[[Player]:[FP/G]],7,FALSE)</f>
        <v>0.65970864188232603</v>
      </c>
      <c r="D203" s="14">
        <f>COUNT($C$6:C203)</f>
        <v>198</v>
      </c>
      <c r="E203" s="13">
        <f t="shared" ref="E203" si="4">C203-VLOOKUP($C$3,$B$6:$D$187,2,FALSE)</f>
        <v>-4.1301650074184737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1B96-17C6-409F-B8EF-D8351B2A4175}">
  <dimension ref="B2:E237"/>
  <sheetViews>
    <sheetView topLeftCell="A191" workbookViewId="0">
      <selection activeCell="C234" sqref="C234"/>
    </sheetView>
  </sheetViews>
  <sheetFormatPr defaultRowHeight="15" x14ac:dyDescent="0.25"/>
  <cols>
    <col min="1" max="1" width="9.140625" style="1"/>
    <col min="2" max="2" width="21.5703125" style="1" bestFit="1" customWidth="1"/>
    <col min="3" max="16384" width="9.140625" style="1"/>
  </cols>
  <sheetData>
    <row r="2" spans="2:5" x14ac:dyDescent="0.25">
      <c r="B2" s="1" t="s">
        <v>1650</v>
      </c>
      <c r="C2" s="2">
        <f>14*6</f>
        <v>84</v>
      </c>
      <c r="D2" s="12"/>
    </row>
    <row r="3" spans="2:5" x14ac:dyDescent="0.25">
      <c r="B3" s="1" t="s">
        <v>1651</v>
      </c>
      <c r="C3" s="2" t="s">
        <v>786</v>
      </c>
      <c r="D3" s="12"/>
    </row>
    <row r="5" spans="2:5" x14ac:dyDescent="0.25">
      <c r="B5" s="1" t="s">
        <v>1647</v>
      </c>
      <c r="C5" s="12" t="s">
        <v>6</v>
      </c>
      <c r="D5" s="12" t="s">
        <v>1648</v>
      </c>
      <c r="E5" s="12" t="s">
        <v>1649</v>
      </c>
    </row>
    <row r="6" spans="2:5" x14ac:dyDescent="0.25">
      <c r="B6" s="1" t="str" cm="1">
        <f t="array" ref="B6:B237">_xlfn._xlws.FILTER(Table1[Player], ISNUMBER(SEARCH("D", Table1[Position])))</f>
        <v>Quinn Hughes</v>
      </c>
      <c r="C6" s="13">
        <f>VLOOKUP(B6,Table1[[Player]:[FP/G]],7,FALSE)</f>
        <v>7.2980954223526897</v>
      </c>
      <c r="D6" s="14">
        <f>COUNT($C$6:C6)</f>
        <v>1</v>
      </c>
      <c r="E6" s="13">
        <f>C6-VLOOKUP($C$3,$B$6:$D$187,2,FALSE)</f>
        <v>4.1582913350346695</v>
      </c>
    </row>
    <row r="7" spans="2:5" x14ac:dyDescent="0.25">
      <c r="B7" s="1" t="str">
        <v>Cale Makar</v>
      </c>
      <c r="C7" s="13">
        <f>VLOOKUP(B7,Table1[[Player]:[FP/G]],7,FALSE)</f>
        <v>6.2836085628562897</v>
      </c>
      <c r="D7" s="14">
        <f>COUNT($C$6:C7)</f>
        <v>2</v>
      </c>
      <c r="E7" s="13">
        <f t="shared" ref="E7:E70" si="0">C7-VLOOKUP($C$3,$B$6:$D$187,2,FALSE)</f>
        <v>3.1438044755382695</v>
      </c>
    </row>
    <row r="8" spans="2:5" x14ac:dyDescent="0.25">
      <c r="B8" s="1" t="str">
        <v>Rasmus Dahlin</v>
      </c>
      <c r="C8" s="13">
        <f>VLOOKUP(B8,Table1[[Player]:[FP/G]],7,FALSE)</f>
        <v>6.2750003053193604</v>
      </c>
      <c r="D8" s="14">
        <f>COUNT($C$6:C8)</f>
        <v>3</v>
      </c>
      <c r="E8" s="13">
        <f t="shared" si="0"/>
        <v>3.1351962180013402</v>
      </c>
    </row>
    <row r="9" spans="2:5" x14ac:dyDescent="0.25">
      <c r="B9" s="1" t="str">
        <v>Zach Werenski</v>
      </c>
      <c r="C9" s="13">
        <f>VLOOKUP(B9,Table1[[Player]:[FP/G]],7,FALSE)</f>
        <v>6.2370564702565199</v>
      </c>
      <c r="D9" s="14">
        <f>COUNT($C$6:C9)</f>
        <v>4</v>
      </c>
      <c r="E9" s="13">
        <f t="shared" si="0"/>
        <v>3.0972523829384997</v>
      </c>
    </row>
    <row r="10" spans="2:5" x14ac:dyDescent="0.25">
      <c r="B10" s="1" t="str">
        <v>Evan Bouchard</v>
      </c>
      <c r="C10" s="13">
        <f>VLOOKUP(B10,Table1[[Player]:[FP/G]],7,FALSE)</f>
        <v>6.0412899094349397</v>
      </c>
      <c r="D10" s="14">
        <f>COUNT($C$6:C10)</f>
        <v>5</v>
      </c>
      <c r="E10" s="13">
        <f t="shared" si="0"/>
        <v>2.9014858221169195</v>
      </c>
    </row>
    <row r="11" spans="2:5" x14ac:dyDescent="0.25">
      <c r="B11" s="1" t="str">
        <v>Josh Morrissey</v>
      </c>
      <c r="C11" s="13">
        <f>VLOOKUP(B11,Table1[[Player]:[FP/G]],7,FALSE)</f>
        <v>5.6992032355962197</v>
      </c>
      <c r="D11" s="14">
        <f>COUNT($C$6:C11)</f>
        <v>6</v>
      </c>
      <c r="E11" s="13">
        <f t="shared" si="0"/>
        <v>2.5593991482781995</v>
      </c>
    </row>
    <row r="12" spans="2:5" x14ac:dyDescent="0.25">
      <c r="B12" s="1" t="str">
        <v>Jakob Chychrun</v>
      </c>
      <c r="C12" s="13">
        <f>VLOOKUP(B12,Table1[[Player]:[FP/G]],7,FALSE)</f>
        <v>5.4881934310022098</v>
      </c>
      <c r="D12" s="14">
        <f>COUNT($C$6:C12)</f>
        <v>7</v>
      </c>
      <c r="E12" s="13">
        <f t="shared" si="0"/>
        <v>2.3483893436841896</v>
      </c>
    </row>
    <row r="13" spans="2:5" x14ac:dyDescent="0.25">
      <c r="B13" s="1" t="str">
        <v>Thomas Harley</v>
      </c>
      <c r="C13" s="13">
        <f>VLOOKUP(B13,Table1[[Player]:[FP/G]],7,FALSE)</f>
        <v>5.3508661396891704</v>
      </c>
      <c r="D13" s="14">
        <f>COUNT($C$6:C13)</f>
        <v>8</v>
      </c>
      <c r="E13" s="13">
        <f t="shared" si="0"/>
        <v>2.2110620523711502</v>
      </c>
    </row>
    <row r="14" spans="2:5" x14ac:dyDescent="0.25">
      <c r="B14" s="1" t="str">
        <v>Victor Hedman</v>
      </c>
      <c r="C14" s="13">
        <f>VLOOKUP(B14,Table1[[Player]:[FP/G]],7,FALSE)</f>
        <v>5.3053751255218202</v>
      </c>
      <c r="D14" s="14">
        <f>COUNT($C$6:C14)</f>
        <v>9</v>
      </c>
      <c r="E14" s="13">
        <f t="shared" si="0"/>
        <v>2.1655710382038</v>
      </c>
    </row>
    <row r="15" spans="2:5" x14ac:dyDescent="0.25">
      <c r="B15" s="1" t="str">
        <v>Shayne Gostisbehere</v>
      </c>
      <c r="C15" s="13">
        <f>VLOOKUP(B15,Table1[[Player]:[FP/G]],7,FALSE)</f>
        <v>5.21546861785757</v>
      </c>
      <c r="D15" s="14">
        <f>COUNT($C$6:C15)</f>
        <v>10</v>
      </c>
      <c r="E15" s="13">
        <f t="shared" si="0"/>
        <v>2.0756645305395498</v>
      </c>
    </row>
    <row r="16" spans="2:5" x14ac:dyDescent="0.25">
      <c r="B16" s="1" t="str">
        <v>Neal Pionk</v>
      </c>
      <c r="C16" s="13">
        <f>VLOOKUP(B16,Table1[[Player]:[FP/G]],7,FALSE)</f>
        <v>5.1805874848818299</v>
      </c>
      <c r="D16" s="14">
        <f>COUNT($C$6:C16)</f>
        <v>11</v>
      </c>
      <c r="E16" s="13">
        <f t="shared" si="0"/>
        <v>2.0407833975638097</v>
      </c>
    </row>
    <row r="17" spans="2:5" x14ac:dyDescent="0.25">
      <c r="B17" s="1" t="str">
        <v>Morgan Rielly</v>
      </c>
      <c r="C17" s="13">
        <f>VLOOKUP(B17,Table1[[Player]:[FP/G]],7,FALSE)</f>
        <v>5.1220651209486103</v>
      </c>
      <c r="D17" s="14">
        <f>COUNT($C$6:C17)</f>
        <v>12</v>
      </c>
      <c r="E17" s="13">
        <f t="shared" si="0"/>
        <v>1.9822610336305901</v>
      </c>
    </row>
    <row r="18" spans="2:5" x14ac:dyDescent="0.25">
      <c r="B18" s="1" t="str">
        <v>Dougie Hamilton</v>
      </c>
      <c r="C18" s="13">
        <f>VLOOKUP(B18,Table1[[Player]:[FP/G]],7,FALSE)</f>
        <v>5.1134894922506904</v>
      </c>
      <c r="D18" s="14">
        <f>COUNT($C$6:C18)</f>
        <v>13</v>
      </c>
      <c r="E18" s="13">
        <f t="shared" si="0"/>
        <v>1.9736854049326702</v>
      </c>
    </row>
    <row r="19" spans="2:5" x14ac:dyDescent="0.25">
      <c r="B19" s="1" t="str">
        <v>Moritz Seider</v>
      </c>
      <c r="C19" s="13">
        <f>VLOOKUP(B19,Table1[[Player]:[FP/G]],7,FALSE)</f>
        <v>5.0826015292146796</v>
      </c>
      <c r="D19" s="14">
        <f>COUNT($C$6:C19)</f>
        <v>14</v>
      </c>
      <c r="E19" s="13">
        <f t="shared" si="0"/>
        <v>1.9427974418966594</v>
      </c>
    </row>
    <row r="20" spans="2:5" x14ac:dyDescent="0.25">
      <c r="B20" s="1" t="str">
        <v>Erik Karlsson</v>
      </c>
      <c r="C20" s="13">
        <f>VLOOKUP(B20,Table1[[Player]:[FP/G]],7,FALSE)</f>
        <v>5.0730053349735504</v>
      </c>
      <c r="D20" s="14">
        <f>COUNT($C$6:C20)</f>
        <v>15</v>
      </c>
      <c r="E20" s="13">
        <f t="shared" si="0"/>
        <v>1.9332012476555303</v>
      </c>
    </row>
    <row r="21" spans="2:5" x14ac:dyDescent="0.25">
      <c r="B21" s="1" t="str">
        <v>Mikhail Sergachev</v>
      </c>
      <c r="C21" s="13">
        <f>VLOOKUP(B21,Table1[[Player]:[FP/G]],7,FALSE)</f>
        <v>5.0678919792972401</v>
      </c>
      <c r="D21" s="14">
        <f>COUNT($C$6:C21)</f>
        <v>16</v>
      </c>
      <c r="E21" s="13">
        <f t="shared" si="0"/>
        <v>1.9280878919792199</v>
      </c>
    </row>
    <row r="22" spans="2:5" x14ac:dyDescent="0.25">
      <c r="B22" s="1" t="str">
        <v>Vince Dunn</v>
      </c>
      <c r="C22" s="13">
        <f>VLOOKUP(B22,Table1[[Player]:[FP/G]],7,FALSE)</f>
        <v>5.0583428514676996</v>
      </c>
      <c r="D22" s="14">
        <f>COUNT($C$6:C22)</f>
        <v>17</v>
      </c>
      <c r="E22" s="13">
        <f t="shared" si="0"/>
        <v>1.9185387641496794</v>
      </c>
    </row>
    <row r="23" spans="2:5" x14ac:dyDescent="0.25">
      <c r="B23" s="1" t="str">
        <v>Shea Theodore</v>
      </c>
      <c r="C23" s="13">
        <f>VLOOKUP(B23,Table1[[Player]:[FP/G]],7,FALSE)</f>
        <v>5.0285510754945903</v>
      </c>
      <c r="D23" s="14">
        <f>COUNT($C$6:C23)</f>
        <v>18</v>
      </c>
      <c r="E23" s="13">
        <f t="shared" si="0"/>
        <v>1.8887469881765702</v>
      </c>
    </row>
    <row r="24" spans="2:5" x14ac:dyDescent="0.25">
      <c r="B24" s="1" t="str">
        <v>Noah Dobson</v>
      </c>
      <c r="C24" s="13">
        <f>VLOOKUP(B24,Table1[[Player]:[FP/G]],7,FALSE)</f>
        <v>4.9608383717322404</v>
      </c>
      <c r="D24" s="14">
        <f>COUNT($C$6:C24)</f>
        <v>19</v>
      </c>
      <c r="E24" s="13">
        <f t="shared" si="0"/>
        <v>1.8210342844142202</v>
      </c>
    </row>
    <row r="25" spans="2:5" x14ac:dyDescent="0.25">
      <c r="B25" s="1" t="str">
        <v>MacKenzie Weegar</v>
      </c>
      <c r="C25" s="13">
        <f>VLOOKUP(B25,Table1[[Player]:[FP/G]],7,FALSE)</f>
        <v>4.9550586033129003</v>
      </c>
      <c r="D25" s="14">
        <f>COUNT($C$6:C25)</f>
        <v>20</v>
      </c>
      <c r="E25" s="13">
        <f t="shared" si="0"/>
        <v>1.8152545159948801</v>
      </c>
    </row>
    <row r="26" spans="2:5" x14ac:dyDescent="0.25">
      <c r="B26" s="1" t="str">
        <v>Alex Pietrangelo</v>
      </c>
      <c r="C26" s="13">
        <f>VLOOKUP(B26,Table1[[Player]:[FP/G]],7,FALSE)</f>
        <v>4.9365554843549804</v>
      </c>
      <c r="D26" s="14">
        <f>COUNT($C$6:C26)</f>
        <v>21</v>
      </c>
      <c r="E26" s="13">
        <f t="shared" si="0"/>
        <v>1.7967513970369602</v>
      </c>
    </row>
    <row r="27" spans="2:5" x14ac:dyDescent="0.25">
      <c r="B27" s="1" t="str">
        <v>Sean Durzi</v>
      </c>
      <c r="C27" s="13">
        <f>VLOOKUP(B27,Table1[[Player]:[FP/G]],7,FALSE)</f>
        <v>4.93570155607659</v>
      </c>
      <c r="D27" s="14">
        <f>COUNT($C$6:C27)</f>
        <v>22</v>
      </c>
      <c r="E27" s="13">
        <f t="shared" si="0"/>
        <v>1.7958974687585698</v>
      </c>
    </row>
    <row r="28" spans="2:5" x14ac:dyDescent="0.25">
      <c r="B28" s="1" t="str">
        <v>Charlie McAvoy</v>
      </c>
      <c r="C28" s="13">
        <f>VLOOKUP(B28,Table1[[Player]:[FP/G]],7,FALSE)</f>
        <v>4.8923256709283898</v>
      </c>
      <c r="D28" s="14">
        <f>COUNT($C$6:C28)</f>
        <v>23</v>
      </c>
      <c r="E28" s="13">
        <f t="shared" si="0"/>
        <v>1.7525215836103696</v>
      </c>
    </row>
    <row r="29" spans="2:5" x14ac:dyDescent="0.25">
      <c r="B29" s="1" t="str">
        <v>Adam Fox</v>
      </c>
      <c r="C29" s="13">
        <f>VLOOKUP(B29,Table1[[Player]:[FP/G]],7,FALSE)</f>
        <v>4.8887176978206002</v>
      </c>
      <c r="D29" s="14">
        <f>COUNT($C$6:C29)</f>
        <v>24</v>
      </c>
      <c r="E29" s="13">
        <f t="shared" si="0"/>
        <v>1.74891361050258</v>
      </c>
    </row>
    <row r="30" spans="2:5" x14ac:dyDescent="0.25">
      <c r="B30" s="1" t="str">
        <v>Miro Heiskanen</v>
      </c>
      <c r="C30" s="13">
        <f>VLOOKUP(B30,Table1[[Player]:[FP/G]],7,FALSE)</f>
        <v>4.8665839774382702</v>
      </c>
      <c r="D30" s="14">
        <f>COUNT($C$6:C30)</f>
        <v>25</v>
      </c>
      <c r="E30" s="13">
        <f t="shared" si="0"/>
        <v>1.72677989012025</v>
      </c>
    </row>
    <row r="31" spans="2:5" x14ac:dyDescent="0.25">
      <c r="B31" s="1" t="str">
        <v>Seth Jones</v>
      </c>
      <c r="C31" s="13">
        <f>VLOOKUP(B31,Table1[[Player]:[FP/G]],7,FALSE)</f>
        <v>4.8458296584673102</v>
      </c>
      <c r="D31" s="14">
        <f>COUNT($C$6:C31)</f>
        <v>26</v>
      </c>
      <c r="E31" s="13">
        <f t="shared" si="0"/>
        <v>1.70602557114929</v>
      </c>
    </row>
    <row r="32" spans="2:5" x14ac:dyDescent="0.25">
      <c r="B32" s="1" t="str">
        <v>Mattias Ekholm</v>
      </c>
      <c r="C32" s="13">
        <f>VLOOKUP(B32,Table1[[Player]:[FP/G]],7,FALSE)</f>
        <v>4.8291100459769698</v>
      </c>
      <c r="D32" s="14">
        <f>COUNT($C$6:C32)</f>
        <v>27</v>
      </c>
      <c r="E32" s="13">
        <f t="shared" si="0"/>
        <v>1.6893059586589496</v>
      </c>
    </row>
    <row r="33" spans="2:5" x14ac:dyDescent="0.25">
      <c r="B33" s="1" t="str">
        <v>Kris Letang</v>
      </c>
      <c r="C33" s="13">
        <f>VLOOKUP(B33,Table1[[Player]:[FP/G]],7,FALSE)</f>
        <v>4.7942046649754104</v>
      </c>
      <c r="D33" s="14">
        <f>COUNT($C$6:C33)</f>
        <v>28</v>
      </c>
      <c r="E33" s="13">
        <f t="shared" si="0"/>
        <v>1.6544005776573902</v>
      </c>
    </row>
    <row r="34" spans="2:5" x14ac:dyDescent="0.25">
      <c r="B34" s="1" t="str">
        <v>Jake Sanderson</v>
      </c>
      <c r="C34" s="13">
        <f>VLOOKUP(B34,Table1[[Player]:[FP/G]],7,FALSE)</f>
        <v>4.7897453400458501</v>
      </c>
      <c r="D34" s="14">
        <f>COUNT($C$6:C34)</f>
        <v>29</v>
      </c>
      <c r="E34" s="13">
        <f t="shared" si="0"/>
        <v>1.6499412527278299</v>
      </c>
    </row>
    <row r="35" spans="2:5" x14ac:dyDescent="0.25">
      <c r="B35" s="1" t="str">
        <v>Roman Josi</v>
      </c>
      <c r="C35" s="13">
        <f>VLOOKUP(B35,Table1[[Player]:[FP/G]],7,FALSE)</f>
        <v>4.7752947518277198</v>
      </c>
      <c r="D35" s="14">
        <f>COUNT($C$6:C35)</f>
        <v>30</v>
      </c>
      <c r="E35" s="13">
        <f t="shared" si="0"/>
        <v>1.6354906645096996</v>
      </c>
    </row>
    <row r="36" spans="2:5" x14ac:dyDescent="0.25">
      <c r="B36" s="1" t="str">
        <v>Brandon Montour</v>
      </c>
      <c r="C36" s="13">
        <f>VLOOKUP(B36,Table1[[Player]:[FP/G]],7,FALSE)</f>
        <v>4.7645522198646999</v>
      </c>
      <c r="D36" s="14">
        <f>COUNT($C$6:C36)</f>
        <v>31</v>
      </c>
      <c r="E36" s="13">
        <f t="shared" si="0"/>
        <v>1.6247481325466797</v>
      </c>
    </row>
    <row r="37" spans="2:5" x14ac:dyDescent="0.25">
      <c r="B37" s="1" t="str">
        <v>Filip Hronek</v>
      </c>
      <c r="C37" s="13">
        <f>VLOOKUP(B37,Table1[[Player]:[FP/G]],7,FALSE)</f>
        <v>4.6548836446582502</v>
      </c>
      <c r="D37" s="14">
        <f>COUNT($C$6:C37)</f>
        <v>32</v>
      </c>
      <c r="E37" s="13">
        <f t="shared" si="0"/>
        <v>1.51507955734023</v>
      </c>
    </row>
    <row r="38" spans="2:5" x14ac:dyDescent="0.25">
      <c r="B38" s="1" t="str">
        <v>Thomas Chabot</v>
      </c>
      <c r="C38" s="13">
        <f>VLOOKUP(B38,Table1[[Player]:[FP/G]],7,FALSE)</f>
        <v>4.65462061153106</v>
      </c>
      <c r="D38" s="14">
        <f>COUNT($C$6:C38)</f>
        <v>33</v>
      </c>
      <c r="E38" s="13">
        <f t="shared" si="0"/>
        <v>1.5148165242130398</v>
      </c>
    </row>
    <row r="39" spans="2:5" x14ac:dyDescent="0.25">
      <c r="B39" s="1" t="str">
        <v>Gustav Forsling</v>
      </c>
      <c r="C39" s="13">
        <f>VLOOKUP(B39,Table1[[Player]:[FP/G]],7,FALSE)</f>
        <v>4.6176422804767299</v>
      </c>
      <c r="D39" s="14">
        <f>COUNT($C$6:C39)</f>
        <v>34</v>
      </c>
      <c r="E39" s="13">
        <f t="shared" si="0"/>
        <v>1.4778381931587097</v>
      </c>
    </row>
    <row r="40" spans="2:5" x14ac:dyDescent="0.25">
      <c r="B40" s="1" t="str">
        <v>Darnell Nurse</v>
      </c>
      <c r="C40" s="13">
        <f>VLOOKUP(B40,Table1[[Player]:[FP/G]],7,FALSE)</f>
        <v>4.5837963440206897</v>
      </c>
      <c r="D40" s="14">
        <f>COUNT($C$6:C40)</f>
        <v>35</v>
      </c>
      <c r="E40" s="13">
        <f t="shared" si="0"/>
        <v>1.4439922567026695</v>
      </c>
    </row>
    <row r="41" spans="2:5" x14ac:dyDescent="0.25">
      <c r="B41" s="1" t="str">
        <v>Devon Toews</v>
      </c>
      <c r="C41" s="13">
        <f>VLOOKUP(B41,Table1[[Player]:[FP/G]],7,FALSE)</f>
        <v>4.5697906827372901</v>
      </c>
      <c r="D41" s="14">
        <f>COUNT($C$6:C41)</f>
        <v>36</v>
      </c>
      <c r="E41" s="13">
        <f t="shared" si="0"/>
        <v>1.4299865954192699</v>
      </c>
    </row>
    <row r="42" spans="2:5" x14ac:dyDescent="0.25">
      <c r="B42" s="1" t="str">
        <v>Drew Doughty</v>
      </c>
      <c r="C42" s="13">
        <f>VLOOKUP(B42,Table1[[Player]:[FP/G]],7,FALSE)</f>
        <v>4.5091660867774799</v>
      </c>
      <c r="D42" s="14">
        <f>COUNT($C$6:C42)</f>
        <v>37</v>
      </c>
      <c r="E42" s="13">
        <f t="shared" si="0"/>
        <v>1.3693619994594597</v>
      </c>
    </row>
    <row r="43" spans="2:5" x14ac:dyDescent="0.25">
      <c r="B43" s="1" t="str">
        <v>John Carlson</v>
      </c>
      <c r="C43" s="13">
        <f>VLOOKUP(B43,Table1[[Player]:[FP/G]],7,FALSE)</f>
        <v>4.4430257969461504</v>
      </c>
      <c r="D43" s="14">
        <f>COUNT($C$6:C43)</f>
        <v>38</v>
      </c>
      <c r="E43" s="13">
        <f t="shared" si="0"/>
        <v>1.3032217096281302</v>
      </c>
    </row>
    <row r="44" spans="2:5" x14ac:dyDescent="0.25">
      <c r="B44" s="1" t="str">
        <v>Brady Skjei</v>
      </c>
      <c r="C44" s="13">
        <f>VLOOKUP(B44,Table1[[Player]:[FP/G]],7,FALSE)</f>
        <v>4.4388647561744099</v>
      </c>
      <c r="D44" s="14">
        <f>COUNT($C$6:C44)</f>
        <v>39</v>
      </c>
      <c r="E44" s="13">
        <f t="shared" si="0"/>
        <v>1.2990606688563897</v>
      </c>
    </row>
    <row r="45" spans="2:5" x14ac:dyDescent="0.25">
      <c r="B45" s="1" t="str">
        <v>Rasmus Andersson</v>
      </c>
      <c r="C45" s="13">
        <f>VLOOKUP(B45,Table1[[Player]:[FP/G]],7,FALSE)</f>
        <v>4.4130709164173902</v>
      </c>
      <c r="D45" s="14">
        <f>COUNT($C$6:C45)</f>
        <v>40</v>
      </c>
      <c r="E45" s="13">
        <f t="shared" si="0"/>
        <v>1.2732668290993701</v>
      </c>
    </row>
    <row r="46" spans="2:5" x14ac:dyDescent="0.25">
      <c r="B46" s="1" t="str">
        <v>Noah Hanifin</v>
      </c>
      <c r="C46" s="13">
        <f>VLOOKUP(B46,Table1[[Player]:[FP/G]],7,FALSE)</f>
        <v>4.3970483018140296</v>
      </c>
      <c r="D46" s="14">
        <f>COUNT($C$6:C46)</f>
        <v>41</v>
      </c>
      <c r="E46" s="13">
        <f t="shared" si="0"/>
        <v>1.2572442144960094</v>
      </c>
    </row>
    <row r="47" spans="2:5" x14ac:dyDescent="0.25">
      <c r="B47" s="1" t="str">
        <v>Travis Sanheim</v>
      </c>
      <c r="C47" s="13">
        <f>VLOOKUP(B47,Table1[[Player]:[FP/G]],7,FALSE)</f>
        <v>4.3634574736501603</v>
      </c>
      <c r="D47" s="14">
        <f>COUNT($C$6:C47)</f>
        <v>42</v>
      </c>
      <c r="E47" s="13">
        <f t="shared" si="0"/>
        <v>1.2236533863321402</v>
      </c>
    </row>
    <row r="48" spans="2:5" x14ac:dyDescent="0.25">
      <c r="B48" s="1" t="str">
        <v>Justin Faulk</v>
      </c>
      <c r="C48" s="13">
        <f>VLOOKUP(B48,Table1[[Player]:[FP/G]],7,FALSE)</f>
        <v>4.3238433085644203</v>
      </c>
      <c r="D48" s="14">
        <f>COUNT($C$6:C48)</f>
        <v>43</v>
      </c>
      <c r="E48" s="13">
        <f t="shared" si="0"/>
        <v>1.1840392212464002</v>
      </c>
    </row>
    <row r="49" spans="2:5" x14ac:dyDescent="0.25">
      <c r="B49" s="1" t="str">
        <v>Mike Matheson</v>
      </c>
      <c r="C49" s="13">
        <f>VLOOKUP(B49,Table1[[Player]:[FP/G]],7,FALSE)</f>
        <v>4.3069574788794904</v>
      </c>
      <c r="D49" s="14">
        <f>COUNT($C$6:C49)</f>
        <v>44</v>
      </c>
      <c r="E49" s="13">
        <f t="shared" si="0"/>
        <v>1.1671533915614702</v>
      </c>
    </row>
    <row r="50" spans="2:5" x14ac:dyDescent="0.25">
      <c r="B50" s="1" t="str">
        <v>Jacob Trouba</v>
      </c>
      <c r="C50" s="13">
        <f>VLOOKUP(B50,Table1[[Player]:[FP/G]],7,FALSE)</f>
        <v>4.2553191647774202</v>
      </c>
      <c r="D50" s="14">
        <f>COUNT($C$6:C50)</f>
        <v>45</v>
      </c>
      <c r="E50" s="13">
        <f t="shared" si="0"/>
        <v>1.1155150774594</v>
      </c>
    </row>
    <row r="51" spans="2:5" x14ac:dyDescent="0.25">
      <c r="B51" s="1" t="str">
        <v>Oliver Ekman-Larsson</v>
      </c>
      <c r="C51" s="13">
        <f>VLOOKUP(B51,Table1[[Player]:[FP/G]],7,FALSE)</f>
        <v>4.1985453617076898</v>
      </c>
      <c r="D51" s="14">
        <f>COUNT($C$6:C51)</f>
        <v>46</v>
      </c>
      <c r="E51" s="13">
        <f t="shared" si="0"/>
        <v>1.0587412743896696</v>
      </c>
    </row>
    <row r="52" spans="2:5" x14ac:dyDescent="0.25">
      <c r="B52" s="1" t="str">
        <v>Brent Burns</v>
      </c>
      <c r="C52" s="13">
        <f>VLOOKUP(B52,Table1[[Player]:[FP/G]],7,FALSE)</f>
        <v>4.1014855189580199</v>
      </c>
      <c r="D52" s="14">
        <f>COUNT($C$6:C52)</f>
        <v>47</v>
      </c>
      <c r="E52" s="13">
        <f t="shared" si="0"/>
        <v>0.96168143163999975</v>
      </c>
    </row>
    <row r="53" spans="2:5" x14ac:dyDescent="0.25">
      <c r="B53" s="1" t="str">
        <v>Colton Parayko</v>
      </c>
      <c r="C53" s="13">
        <f>VLOOKUP(B53,Table1[[Player]:[FP/G]],7,FALSE)</f>
        <v>3.9952604207914599</v>
      </c>
      <c r="D53" s="14">
        <f>COUNT($C$6:C53)</f>
        <v>48</v>
      </c>
      <c r="E53" s="13">
        <f t="shared" si="0"/>
        <v>0.85545633347343975</v>
      </c>
    </row>
    <row r="54" spans="2:5" x14ac:dyDescent="0.25">
      <c r="B54" s="1" t="str">
        <v>Aaron Ekblad</v>
      </c>
      <c r="C54" s="13">
        <f>VLOOKUP(B54,Table1[[Player]:[FP/G]],7,FALSE)</f>
        <v>3.90891403165078</v>
      </c>
      <c r="D54" s="14">
        <f>COUNT($C$6:C54)</f>
        <v>49</v>
      </c>
      <c r="E54" s="13">
        <f t="shared" si="0"/>
        <v>0.76910994433275981</v>
      </c>
    </row>
    <row r="55" spans="2:5" x14ac:dyDescent="0.25">
      <c r="B55" s="1" t="str">
        <v>Jake Walman</v>
      </c>
      <c r="C55" s="13">
        <f>VLOOKUP(B55,Table1[[Player]:[FP/G]],7,FALSE)</f>
        <v>3.8192816831770302</v>
      </c>
      <c r="D55" s="14">
        <f>COUNT($C$6:C55)</f>
        <v>50</v>
      </c>
      <c r="E55" s="13">
        <f t="shared" si="0"/>
        <v>0.67947759585901002</v>
      </c>
    </row>
    <row r="56" spans="2:5" x14ac:dyDescent="0.25">
      <c r="B56" s="1" t="str">
        <v>Bowen Byram</v>
      </c>
      <c r="C56" s="13">
        <f>VLOOKUP(B56,Table1[[Player]:[FP/G]],7,FALSE)</f>
        <v>3.7679696466715198</v>
      </c>
      <c r="D56" s="14">
        <f>COUNT($C$6:C56)</f>
        <v>51</v>
      </c>
      <c r="E56" s="13">
        <f t="shared" si="0"/>
        <v>0.6281655593534996</v>
      </c>
    </row>
    <row r="57" spans="2:5" x14ac:dyDescent="0.25">
      <c r="B57" s="1" t="str">
        <v>KAndre Miller</v>
      </c>
      <c r="C57" s="13">
        <f>VLOOKUP(B57,Table1[[Player]:[FP/G]],7,FALSE)</f>
        <v>3.70127482323704</v>
      </c>
      <c r="D57" s="14">
        <f>COUNT($C$6:C57)</f>
        <v>52</v>
      </c>
      <c r="E57" s="13">
        <f t="shared" si="0"/>
        <v>0.56147073591901986</v>
      </c>
    </row>
    <row r="58" spans="2:5" x14ac:dyDescent="0.25">
      <c r="B58" s="1" t="str">
        <v>Jaccob Slavin</v>
      </c>
      <c r="C58" s="13">
        <f>VLOOKUP(B58,Table1[[Player]:[FP/G]],7,FALSE)</f>
        <v>3.6838760461304898</v>
      </c>
      <c r="D58" s="14">
        <f>COUNT($C$6:C58)</f>
        <v>53</v>
      </c>
      <c r="E58" s="13">
        <f t="shared" si="0"/>
        <v>0.54407195881246961</v>
      </c>
    </row>
    <row r="59" spans="2:5" x14ac:dyDescent="0.25">
      <c r="B59" s="1" t="str">
        <v>Luke Hughes</v>
      </c>
      <c r="C59" s="13">
        <f>VLOOKUP(B59,Table1[[Player]:[FP/G]],7,FALSE)</f>
        <v>3.6243699684997699</v>
      </c>
      <c r="D59" s="14">
        <f>COUNT($C$6:C59)</f>
        <v>54</v>
      </c>
      <c r="E59" s="13">
        <f t="shared" si="0"/>
        <v>0.4845658811817497</v>
      </c>
    </row>
    <row r="60" spans="2:5" x14ac:dyDescent="0.25">
      <c r="B60" s="1" t="str">
        <v>Adam Larsson</v>
      </c>
      <c r="C60" s="13">
        <f>VLOOKUP(B60,Table1[[Player]:[FP/G]],7,FALSE)</f>
        <v>3.5799652898289298</v>
      </c>
      <c r="D60" s="14">
        <f>COUNT($C$6:C60)</f>
        <v>55</v>
      </c>
      <c r="E60" s="13">
        <f t="shared" si="0"/>
        <v>0.44016120251090962</v>
      </c>
    </row>
    <row r="61" spans="2:5" x14ac:dyDescent="0.25">
      <c r="B61" s="1" t="str">
        <v>Simon Edvinsson</v>
      </c>
      <c r="C61" s="13">
        <f>VLOOKUP(B61,Table1[[Player]:[FP/G]],7,FALSE)</f>
        <v>3.5771871604423899</v>
      </c>
      <c r="D61" s="14">
        <f>COUNT($C$6:C61)</f>
        <v>56</v>
      </c>
      <c r="E61" s="13">
        <f t="shared" si="0"/>
        <v>0.43738307312436975</v>
      </c>
    </row>
    <row r="62" spans="2:5" x14ac:dyDescent="0.25">
      <c r="B62" s="1" t="str">
        <v>Owen Power</v>
      </c>
      <c r="C62" s="13">
        <f>VLOOKUP(B62,Table1[[Player]:[FP/G]],7,FALSE)</f>
        <v>3.56548418727697</v>
      </c>
      <c r="D62" s="14">
        <f>COUNT($C$6:C62)</f>
        <v>57</v>
      </c>
      <c r="E62" s="13">
        <f t="shared" si="0"/>
        <v>0.42568009995894984</v>
      </c>
    </row>
    <row r="63" spans="2:5" x14ac:dyDescent="0.25">
      <c r="B63" s="1" t="str">
        <v>Ivan Provorov</v>
      </c>
      <c r="C63" s="13">
        <f>VLOOKUP(B63,Table1[[Player]:[FP/G]],7,FALSE)</f>
        <v>3.5440804875153802</v>
      </c>
      <c r="D63" s="14">
        <f>COUNT($C$6:C63)</f>
        <v>58</v>
      </c>
      <c r="E63" s="13">
        <f t="shared" si="0"/>
        <v>0.40427640019736</v>
      </c>
    </row>
    <row r="64" spans="2:5" x14ac:dyDescent="0.25">
      <c r="B64" s="1" t="str">
        <v>Hampus Lindholm</v>
      </c>
      <c r="C64" s="13">
        <f>VLOOKUP(B64,Table1[[Player]:[FP/G]],7,FALSE)</f>
        <v>3.5041580685592</v>
      </c>
      <c r="D64" s="14">
        <f>COUNT($C$6:C64)</f>
        <v>59</v>
      </c>
      <c r="E64" s="13">
        <f t="shared" si="0"/>
        <v>0.36435398124117979</v>
      </c>
    </row>
    <row r="65" spans="2:5" x14ac:dyDescent="0.25">
      <c r="B65" s="1" t="str">
        <v>Alexander Romanov</v>
      </c>
      <c r="C65" s="13">
        <f>VLOOKUP(B65,Table1[[Player]:[FP/G]],7,FALSE)</f>
        <v>3.4810109209443101</v>
      </c>
      <c r="D65" s="14">
        <f>COUNT($C$6:C65)</f>
        <v>60</v>
      </c>
      <c r="E65" s="13">
        <f t="shared" si="0"/>
        <v>0.3412068336262899</v>
      </c>
    </row>
    <row r="66" spans="2:5" x14ac:dyDescent="0.25">
      <c r="B66" s="1" t="str">
        <v>Jake Middleton</v>
      </c>
      <c r="C66" s="13">
        <f>VLOOKUP(B66,Table1[[Player]:[FP/G]],7,FALSE)</f>
        <v>3.3824137670185399</v>
      </c>
      <c r="D66" s="14">
        <f>COUNT($C$6:C66)</f>
        <v>61</v>
      </c>
      <c r="E66" s="13">
        <f t="shared" si="0"/>
        <v>0.24260967970051972</v>
      </c>
    </row>
    <row r="67" spans="2:5" x14ac:dyDescent="0.25">
      <c r="B67" s="1" t="str">
        <v>Matt Roy</v>
      </c>
      <c r="C67" s="13">
        <f>VLOOKUP(B67,Table1[[Player]:[FP/G]],7,FALSE)</f>
        <v>3.3814248929897599</v>
      </c>
      <c r="D67" s="14">
        <f>COUNT($C$6:C67)</f>
        <v>62</v>
      </c>
      <c r="E67" s="13">
        <f t="shared" si="0"/>
        <v>0.24162080567173971</v>
      </c>
    </row>
    <row r="68" spans="2:5" x14ac:dyDescent="0.25">
      <c r="B68" s="1" t="str">
        <v>Brock Faber</v>
      </c>
      <c r="C68" s="13">
        <f>VLOOKUP(B68,Table1[[Player]:[FP/G]],7,FALSE)</f>
        <v>3.3714598970063498</v>
      </c>
      <c r="D68" s="14">
        <f>COUNT($C$6:C68)</f>
        <v>63</v>
      </c>
      <c r="E68" s="13">
        <f t="shared" si="0"/>
        <v>0.23165580968832966</v>
      </c>
    </row>
    <row r="69" spans="2:5" x14ac:dyDescent="0.25">
      <c r="B69" s="1" t="str">
        <v>Dmitry Orlov</v>
      </c>
      <c r="C69" s="13">
        <f>VLOOKUP(B69,Table1[[Player]:[FP/G]],7,FALSE)</f>
        <v>3.3562001014724001</v>
      </c>
      <c r="D69" s="14">
        <f>COUNT($C$6:C69)</f>
        <v>64</v>
      </c>
      <c r="E69" s="13">
        <f t="shared" si="0"/>
        <v>0.21639601415437992</v>
      </c>
    </row>
    <row r="70" spans="2:5" x14ac:dyDescent="0.25">
      <c r="B70" s="1" t="str">
        <v>Jackson LaCombe</v>
      </c>
      <c r="C70" s="13">
        <f>VLOOKUP(B70,Table1[[Player]:[FP/G]],7,FALSE)</f>
        <v>3.3546393786089301</v>
      </c>
      <c r="D70" s="14">
        <f>COUNT($C$6:C70)</f>
        <v>65</v>
      </c>
      <c r="E70" s="13">
        <f t="shared" si="0"/>
        <v>0.21483529129090995</v>
      </c>
    </row>
    <row r="71" spans="2:5" x14ac:dyDescent="0.25">
      <c r="B71" s="1" t="str">
        <v>Jake McCabe</v>
      </c>
      <c r="C71" s="13">
        <f>VLOOKUP(B71,Table1[[Player]:[FP/G]],7,FALSE)</f>
        <v>3.3504436185838902</v>
      </c>
      <c r="D71" s="14">
        <f>COUNT($C$6:C71)</f>
        <v>66</v>
      </c>
      <c r="E71" s="13">
        <f t="shared" ref="E71:E134" si="1">C71-VLOOKUP($C$3,$B$6:$D$187,2,FALSE)</f>
        <v>0.21063953126586998</v>
      </c>
    </row>
    <row r="72" spans="2:5" x14ac:dyDescent="0.25">
      <c r="B72" s="1" t="str">
        <v>J.J. Moser</v>
      </c>
      <c r="C72" s="13">
        <f>VLOOKUP(B72,Table1[[Player]:[FP/G]],7,FALSE)</f>
        <v>3.3500202699992201</v>
      </c>
      <c r="D72" s="14">
        <f>COUNT($C$6:C72)</f>
        <v>67</v>
      </c>
      <c r="E72" s="13">
        <f t="shared" si="1"/>
        <v>0.2102161826811999</v>
      </c>
    </row>
    <row r="73" spans="2:5" x14ac:dyDescent="0.25">
      <c r="B73" s="1" t="str">
        <v>Radko Gudas</v>
      </c>
      <c r="C73" s="13">
        <f>VLOOKUP(B73,Table1[[Player]:[FP/G]],7,FALSE)</f>
        <v>3.3149760335499301</v>
      </c>
      <c r="D73" s="14">
        <f>COUNT($C$6:C73)</f>
        <v>68</v>
      </c>
      <c r="E73" s="13">
        <f t="shared" si="1"/>
        <v>0.1751719462319099</v>
      </c>
    </row>
    <row r="74" spans="2:5" x14ac:dyDescent="0.25">
      <c r="B74" s="1" t="str">
        <v>Jared Spurgeon</v>
      </c>
      <c r="C74" s="13">
        <f>VLOOKUP(B74,Table1[[Player]:[FP/G]],7,FALSE)</f>
        <v>3.2994172142996101</v>
      </c>
      <c r="D74" s="14">
        <f>COUNT($C$6:C74)</f>
        <v>69</v>
      </c>
      <c r="E74" s="13">
        <f t="shared" si="1"/>
        <v>0.15961312698158991</v>
      </c>
    </row>
    <row r="75" spans="2:5" x14ac:dyDescent="0.25">
      <c r="B75" s="1" t="str">
        <v>Cam Fowler</v>
      </c>
      <c r="C75" s="13">
        <f>VLOOKUP(B75,Table1[[Player]:[FP/G]],7,FALSE)</f>
        <v>3.2971637306445198</v>
      </c>
      <c r="D75" s="14">
        <f>COUNT($C$6:C75)</f>
        <v>70</v>
      </c>
      <c r="E75" s="13">
        <f t="shared" si="1"/>
        <v>0.15735964332649965</v>
      </c>
    </row>
    <row r="76" spans="2:5" x14ac:dyDescent="0.25">
      <c r="B76" s="1" t="str">
        <v>Josh Manson</v>
      </c>
      <c r="C76" s="13">
        <f>VLOOKUP(B76,Table1[[Player]:[FP/G]],7,FALSE)</f>
        <v>3.2655410672609499</v>
      </c>
      <c r="D76" s="14">
        <f>COUNT($C$6:C76)</f>
        <v>71</v>
      </c>
      <c r="E76" s="13">
        <f t="shared" si="1"/>
        <v>0.12573697994292976</v>
      </c>
    </row>
    <row r="77" spans="2:5" x14ac:dyDescent="0.25">
      <c r="B77" s="1" t="str">
        <v>Nikita Zadorov</v>
      </c>
      <c r="C77" s="13">
        <f>VLOOKUP(B77,Table1[[Player]:[FP/G]],7,FALSE)</f>
        <v>3.2623433714718399</v>
      </c>
      <c r="D77" s="14">
        <f>COUNT($C$6:C77)</f>
        <v>72</v>
      </c>
      <c r="E77" s="13">
        <f t="shared" si="1"/>
        <v>0.12253928415381976</v>
      </c>
    </row>
    <row r="78" spans="2:5" x14ac:dyDescent="0.25">
      <c r="B78" s="1" t="str">
        <v>Nick Seeler</v>
      </c>
      <c r="C78" s="13">
        <f>VLOOKUP(B78,Table1[[Player]:[FP/G]],7,FALSE)</f>
        <v>3.2614611146286099</v>
      </c>
      <c r="D78" s="14">
        <f>COUNT($C$6:C78)</f>
        <v>73</v>
      </c>
      <c r="E78" s="13">
        <f t="shared" si="1"/>
        <v>0.12165702731058969</v>
      </c>
    </row>
    <row r="79" spans="2:5" x14ac:dyDescent="0.25">
      <c r="B79" s="1" t="str">
        <v>Braden Schneider</v>
      </c>
      <c r="C79" s="13">
        <f>VLOOKUP(B79,Table1[[Player]:[FP/G]],7,FALSE)</f>
        <v>3.2607157142679899</v>
      </c>
      <c r="D79" s="14">
        <f>COUNT($C$6:C79)</f>
        <v>74</v>
      </c>
      <c r="E79" s="13">
        <f t="shared" si="1"/>
        <v>0.12091162694996971</v>
      </c>
    </row>
    <row r="80" spans="2:5" x14ac:dyDescent="0.25">
      <c r="B80" s="1" t="str">
        <v>Samuel Girard</v>
      </c>
      <c r="C80" s="13">
        <f>VLOOKUP(B80,Table1[[Player]:[FP/G]],7,FALSE)</f>
        <v>3.25136471145832</v>
      </c>
      <c r="D80" s="14">
        <f>COUNT($C$6:C80)</f>
        <v>75</v>
      </c>
      <c r="E80" s="13">
        <f t="shared" si="1"/>
        <v>0.11156062414029977</v>
      </c>
    </row>
    <row r="81" spans="2:5" x14ac:dyDescent="0.25">
      <c r="B81" s="1" t="str">
        <v>Cam York</v>
      </c>
      <c r="C81" s="13">
        <f>VLOOKUP(B81,Table1[[Player]:[FP/G]],7,FALSE)</f>
        <v>3.2137769043747602</v>
      </c>
      <c r="D81" s="14">
        <f>COUNT($C$6:C81)</f>
        <v>76</v>
      </c>
      <c r="E81" s="13">
        <f t="shared" si="1"/>
        <v>7.397281705673997E-2</v>
      </c>
    </row>
    <row r="82" spans="2:5" x14ac:dyDescent="0.25">
      <c r="B82" s="1" t="str">
        <v>Damon Severson</v>
      </c>
      <c r="C82" s="13">
        <f>VLOOKUP(B82,Table1[[Player]:[FP/G]],7,FALSE)</f>
        <v>3.2124834362098702</v>
      </c>
      <c r="D82" s="14">
        <f>COUNT($C$6:C82)</f>
        <v>77</v>
      </c>
      <c r="E82" s="13">
        <f t="shared" si="1"/>
        <v>7.2679348891850015E-2</v>
      </c>
    </row>
    <row r="83" spans="2:5" x14ac:dyDescent="0.25">
      <c r="B83" s="1" t="str">
        <v>Sean Walker</v>
      </c>
      <c r="C83" s="13">
        <f>VLOOKUP(B83,Table1[[Player]:[FP/G]],7,FALSE)</f>
        <v>3.1994055922045801</v>
      </c>
      <c r="D83" s="14">
        <f>COUNT($C$6:C83)</f>
        <v>78</v>
      </c>
      <c r="E83" s="13">
        <f t="shared" si="1"/>
        <v>5.9601504886559908E-2</v>
      </c>
    </row>
    <row r="84" spans="2:5" x14ac:dyDescent="0.25">
      <c r="B84" s="1" t="str">
        <v>Jeremy Lauzon</v>
      </c>
      <c r="C84" s="13">
        <f>VLOOKUP(B84,Table1[[Player]:[FP/G]],7,FALSE)</f>
        <v>3.19926543438469</v>
      </c>
      <c r="D84" s="14">
        <f>COUNT($C$6:C84)</f>
        <v>79</v>
      </c>
      <c r="E84" s="13">
        <f t="shared" si="1"/>
        <v>5.9461347066669834E-2</v>
      </c>
    </row>
    <row r="85" spans="2:5" x14ac:dyDescent="0.25">
      <c r="B85" s="1" t="str">
        <v>Martin Fehervary</v>
      </c>
      <c r="C85" s="13">
        <f>VLOOKUP(B85,Table1[[Player]:[FP/G]],7,FALSE)</f>
        <v>3.1828939771902398</v>
      </c>
      <c r="D85" s="14">
        <f>COUNT($C$6:C85)</f>
        <v>80</v>
      </c>
      <c r="E85" s="13">
        <f t="shared" si="1"/>
        <v>4.3089889872219622E-2</v>
      </c>
    </row>
    <row r="86" spans="2:5" x14ac:dyDescent="0.25">
      <c r="B86" s="1" t="str">
        <v>Brandt Clarke</v>
      </c>
      <c r="C86" s="13">
        <f>VLOOKUP(B86,Table1[[Player]:[FP/G]],7,FALSE)</f>
        <v>3.1749583348649399</v>
      </c>
      <c r="D86" s="14">
        <f>COUNT($C$6:C86)</f>
        <v>81</v>
      </c>
      <c r="E86" s="13">
        <f t="shared" si="1"/>
        <v>3.5154247546919759E-2</v>
      </c>
    </row>
    <row r="87" spans="2:5" x14ac:dyDescent="0.25">
      <c r="B87" s="1" t="str">
        <v>Kaiden Guhle</v>
      </c>
      <c r="C87" s="13">
        <f>VLOOKUP(B87,Table1[[Player]:[FP/G]],7,FALSE)</f>
        <v>3.1676155723339998</v>
      </c>
      <c r="D87" s="14">
        <f>COUNT($C$6:C87)</f>
        <v>82</v>
      </c>
      <c r="E87" s="13">
        <f t="shared" si="1"/>
        <v>2.7811485015979631E-2</v>
      </c>
    </row>
    <row r="88" spans="2:5" x14ac:dyDescent="0.25">
      <c r="B88" s="1" t="str">
        <v>Ryan Pulock</v>
      </c>
      <c r="C88" s="13">
        <f>VLOOKUP(B88,Table1[[Player]:[FP/G]],7,FALSE)</f>
        <v>3.15114522239368</v>
      </c>
      <c r="D88" s="14">
        <f>COUNT($C$6:C88)</f>
        <v>83</v>
      </c>
      <c r="E88" s="13">
        <f t="shared" si="1"/>
        <v>1.1341135075659814E-2</v>
      </c>
    </row>
    <row r="89" spans="2:5" x14ac:dyDescent="0.25">
      <c r="B89" s="1" t="str">
        <v>Connor Murphy</v>
      </c>
      <c r="C89" s="13">
        <f>VLOOKUP(B89,Table1[[Player]:[FP/G]],7,FALSE)</f>
        <v>3.1398040873180202</v>
      </c>
      <c r="D89" s="14">
        <f>COUNT($C$6:C89)</f>
        <v>84</v>
      </c>
      <c r="E89" s="13">
        <f t="shared" si="1"/>
        <v>0</v>
      </c>
    </row>
    <row r="90" spans="2:5" x14ac:dyDescent="0.25">
      <c r="B90" s="1" t="str">
        <v>Philip Broberg</v>
      </c>
      <c r="C90" s="13">
        <f>VLOOKUP(B90,Table1[[Player]:[FP/G]],7,FALSE)</f>
        <v>3.1057957333636299</v>
      </c>
      <c r="D90" s="14">
        <f>COUNT($C$6:C90)</f>
        <v>85</v>
      </c>
      <c r="E90" s="13">
        <f t="shared" si="1"/>
        <v>-3.400835395439028E-2</v>
      </c>
    </row>
    <row r="91" spans="2:5" x14ac:dyDescent="0.25">
      <c r="B91" s="1" t="str">
        <v>Brayden McNabb</v>
      </c>
      <c r="C91" s="13">
        <f>VLOOKUP(B91,Table1[[Player]:[FP/G]],7,FALSE)</f>
        <v>3.0950228712841499</v>
      </c>
      <c r="D91" s="14">
        <f>COUNT($C$6:C91)</f>
        <v>86</v>
      </c>
      <c r="E91" s="13">
        <f t="shared" si="1"/>
        <v>-4.4781216033870308E-2</v>
      </c>
    </row>
    <row r="92" spans="2:5" x14ac:dyDescent="0.25">
      <c r="B92" s="1" t="str">
        <v>Brenden Dillon</v>
      </c>
      <c r="C92" s="13">
        <f>VLOOKUP(B92,Table1[[Player]:[FP/G]],7,FALSE)</f>
        <v>3.0894316475514998</v>
      </c>
      <c r="D92" s="14">
        <f>COUNT($C$6:C92)</f>
        <v>87</v>
      </c>
      <c r="E92" s="13">
        <f t="shared" si="1"/>
        <v>-5.0372439766520394E-2</v>
      </c>
    </row>
    <row r="93" spans="2:5" x14ac:dyDescent="0.25">
      <c r="B93" s="1" t="str">
        <v>Dylan DeMelo</v>
      </c>
      <c r="C93" s="13">
        <f>VLOOKUP(B93,Table1[[Player]:[FP/G]],7,FALSE)</f>
        <v>3.08040283855936</v>
      </c>
      <c r="D93" s="14">
        <f>COUNT($C$6:C93)</f>
        <v>88</v>
      </c>
      <c r="E93" s="13">
        <f t="shared" si="1"/>
        <v>-5.9401248758660152E-2</v>
      </c>
    </row>
    <row r="94" spans="2:5" x14ac:dyDescent="0.25">
      <c r="B94" s="1" t="str">
        <v>Niko Mikkola</v>
      </c>
      <c r="C94" s="13">
        <f>VLOOKUP(B94,Table1[[Player]:[FP/G]],7,FALSE)</f>
        <v>3.0762976815267402</v>
      </c>
      <c r="D94" s="14">
        <f>COUNT($C$6:C94)</f>
        <v>89</v>
      </c>
      <c r="E94" s="13">
        <f t="shared" si="1"/>
        <v>-6.3506405791279974E-2</v>
      </c>
    </row>
    <row r="95" spans="2:5" x14ac:dyDescent="0.25">
      <c r="B95" s="1" t="str">
        <v>Esa Lindell</v>
      </c>
      <c r="C95" s="13">
        <f>VLOOKUP(B95,Table1[[Player]:[FP/G]],7,FALSE)</f>
        <v>3.02511781501748</v>
      </c>
      <c r="D95" s="14">
        <f>COUNT($C$6:C95)</f>
        <v>90</v>
      </c>
      <c r="E95" s="13">
        <f t="shared" si="1"/>
        <v>-0.11468627230054018</v>
      </c>
    </row>
    <row r="96" spans="2:5" x14ac:dyDescent="0.25">
      <c r="B96" s="1" t="str">
        <v>Dante Fabbro</v>
      </c>
      <c r="C96" s="13">
        <f>VLOOKUP(B96,Table1[[Player]:[FP/G]],7,FALSE)</f>
        <v>3.0216264202357102</v>
      </c>
      <c r="D96" s="14">
        <f>COUNT($C$6:C96)</f>
        <v>91</v>
      </c>
      <c r="E96" s="13">
        <f t="shared" si="1"/>
        <v>-0.11817766708231003</v>
      </c>
    </row>
    <row r="97" spans="2:5" x14ac:dyDescent="0.25">
      <c r="B97" s="1" t="str">
        <v>Mikey Anderson</v>
      </c>
      <c r="C97" s="13">
        <f>VLOOKUP(B97,Table1[[Player]:[FP/G]],7,FALSE)</f>
        <v>3.0202451408834299</v>
      </c>
      <c r="D97" s="14">
        <f>COUNT($C$6:C97)</f>
        <v>92</v>
      </c>
      <c r="E97" s="13">
        <f t="shared" si="1"/>
        <v>-0.11955894643459031</v>
      </c>
    </row>
    <row r="98" spans="2:5" x14ac:dyDescent="0.25">
      <c r="B98" s="1" t="str">
        <v>Alex Vlasic</v>
      </c>
      <c r="C98" s="13">
        <f>VLOOKUP(B98,Table1[[Player]:[FP/G]],7,FALSE)</f>
        <v>2.98792825794267</v>
      </c>
      <c r="D98" s="14">
        <f>COUNT($C$6:C98)</f>
        <v>93</v>
      </c>
      <c r="E98" s="13">
        <f t="shared" si="1"/>
        <v>-0.15187582937535016</v>
      </c>
    </row>
    <row r="99" spans="2:5" x14ac:dyDescent="0.25">
      <c r="B99" s="1" t="str">
        <v>Jonas Brodin</v>
      </c>
      <c r="C99" s="13">
        <f>VLOOKUP(B99,Table1[[Player]:[FP/G]],7,FALSE)</f>
        <v>2.9753882202434201</v>
      </c>
      <c r="D99" s="14">
        <f>COUNT($C$6:C99)</f>
        <v>94</v>
      </c>
      <c r="E99" s="13">
        <f t="shared" si="1"/>
        <v>-0.1644158670746001</v>
      </c>
    </row>
    <row r="100" spans="2:5" x14ac:dyDescent="0.25">
      <c r="B100" s="1" t="str">
        <v>Marcus Pettersson</v>
      </c>
      <c r="C100" s="13">
        <f>VLOOKUP(B100,Table1[[Player]:[FP/G]],7,FALSE)</f>
        <v>2.9746163624924802</v>
      </c>
      <c r="D100" s="14">
        <f>COUNT($C$6:C100)</f>
        <v>95</v>
      </c>
      <c r="E100" s="13">
        <f t="shared" si="1"/>
        <v>-0.16518772482554001</v>
      </c>
    </row>
    <row r="101" spans="2:5" x14ac:dyDescent="0.25">
      <c r="B101" s="1" t="str">
        <v>Vladislav Gavrikov</v>
      </c>
      <c r="C101" s="13">
        <f>VLOOKUP(B101,Table1[[Player]:[FP/G]],7,FALSE)</f>
        <v>2.9675371970352602</v>
      </c>
      <c r="D101" s="14">
        <f>COUNT($C$6:C101)</f>
        <v>96</v>
      </c>
      <c r="E101" s="13">
        <f t="shared" si="1"/>
        <v>-0.17226689028275999</v>
      </c>
    </row>
    <row r="102" spans="2:5" x14ac:dyDescent="0.25">
      <c r="B102" s="1" t="str">
        <v>Tyler Myers</v>
      </c>
      <c r="C102" s="13">
        <f>VLOOKUP(B102,Table1[[Player]:[FP/G]],7,FALSE)</f>
        <v>2.9408845002230901</v>
      </c>
      <c r="D102" s="14">
        <f>COUNT($C$6:C102)</f>
        <v>97</v>
      </c>
      <c r="E102" s="13">
        <f t="shared" si="1"/>
        <v>-0.19891958709493007</v>
      </c>
    </row>
    <row r="103" spans="2:5" x14ac:dyDescent="0.25">
      <c r="B103" s="1" t="str">
        <v>Jamie Drysdale</v>
      </c>
      <c r="C103" s="13">
        <f>VLOOKUP(B103,Table1[[Player]:[FP/G]],7,FALSE)</f>
        <v>2.9328716432347801</v>
      </c>
      <c r="D103" s="14">
        <f>COUNT($C$6:C103)</f>
        <v>98</v>
      </c>
      <c r="E103" s="13">
        <f t="shared" si="1"/>
        <v>-0.20693244408324007</v>
      </c>
    </row>
    <row r="104" spans="2:5" x14ac:dyDescent="0.25">
      <c r="B104" s="1" t="str">
        <v>Rasmus Sandin</v>
      </c>
      <c r="C104" s="13">
        <f>VLOOKUP(B104,Table1[[Player]:[FP/G]],7,FALSE)</f>
        <v>2.92986956112115</v>
      </c>
      <c r="D104" s="14">
        <f>COUNT($C$6:C104)</f>
        <v>99</v>
      </c>
      <c r="E104" s="13">
        <f t="shared" si="1"/>
        <v>-0.20993452619687014</v>
      </c>
    </row>
    <row r="105" spans="2:5" x14ac:dyDescent="0.25">
      <c r="B105" s="1" t="str">
        <v>Jordan Spence</v>
      </c>
      <c r="C105" s="13">
        <f>VLOOKUP(B105,Table1[[Player]:[FP/G]],7,FALSE)</f>
        <v>2.8997873279276098</v>
      </c>
      <c r="D105" s="14">
        <f>COUNT($C$6:C105)</f>
        <v>100</v>
      </c>
      <c r="E105" s="13">
        <f t="shared" si="1"/>
        <v>-0.24001675939041034</v>
      </c>
    </row>
    <row r="106" spans="2:5" x14ac:dyDescent="0.25">
      <c r="B106" s="1" t="str">
        <v>Dylan Samberg</v>
      </c>
      <c r="C106" s="13">
        <f>VLOOKUP(B106,Table1[[Player]:[FP/G]],7,FALSE)</f>
        <v>2.8975595557470899</v>
      </c>
      <c r="D106" s="14">
        <f>COUNT($C$6:C106)</f>
        <v>101</v>
      </c>
      <c r="E106" s="13">
        <f t="shared" si="1"/>
        <v>-0.24224453157093029</v>
      </c>
    </row>
    <row r="107" spans="2:5" x14ac:dyDescent="0.25">
      <c r="B107" s="1" t="str">
        <v>Johnathan Kovacevic</v>
      </c>
      <c r="C107" s="13">
        <f>VLOOKUP(B107,Table1[[Player]:[FP/G]],7,FALSE)</f>
        <v>2.8957842679395802</v>
      </c>
      <c r="D107" s="14">
        <f>COUNT($C$6:C107)</f>
        <v>102</v>
      </c>
      <c r="E107" s="13">
        <f t="shared" si="1"/>
        <v>-0.24401981937843997</v>
      </c>
    </row>
    <row r="108" spans="2:5" x14ac:dyDescent="0.25">
      <c r="B108" s="1" t="str">
        <v>Adam Pelech</v>
      </c>
      <c r="C108" s="13">
        <f>VLOOKUP(B108,Table1[[Player]:[FP/G]],7,FALSE)</f>
        <v>2.89017810947986</v>
      </c>
      <c r="D108" s="14">
        <f>COUNT($C$6:C108)</f>
        <v>103</v>
      </c>
      <c r="E108" s="13">
        <f t="shared" si="1"/>
        <v>-0.24962597783816021</v>
      </c>
    </row>
    <row r="109" spans="2:5" x14ac:dyDescent="0.25">
      <c r="B109" s="1" t="str">
        <v>Erik Gudbranson</v>
      </c>
      <c r="C109" s="13">
        <f>VLOOKUP(B109,Table1[[Player]:[FP/G]],7,FALSE)</f>
        <v>2.8560848019660301</v>
      </c>
      <c r="D109" s="14">
        <f>COUNT($C$6:C109)</f>
        <v>104</v>
      </c>
      <c r="E109" s="13">
        <f t="shared" si="1"/>
        <v>-0.28371928535199009</v>
      </c>
    </row>
    <row r="110" spans="2:5" x14ac:dyDescent="0.25">
      <c r="B110" s="1" t="str">
        <v>Darren Raddysh</v>
      </c>
      <c r="C110" s="13">
        <f>VLOOKUP(B110,Table1[[Player]:[FP/G]],7,FALSE)</f>
        <v>2.83729431428752</v>
      </c>
      <c r="D110" s="14">
        <f>COUNT($C$6:C110)</f>
        <v>105</v>
      </c>
      <c r="E110" s="13">
        <f t="shared" si="1"/>
        <v>-0.3025097730305002</v>
      </c>
    </row>
    <row r="111" spans="2:5" x14ac:dyDescent="0.25">
      <c r="B111" s="1" t="str">
        <v>Michael Kesselring</v>
      </c>
      <c r="C111" s="13">
        <f>VLOOKUP(B111,Table1[[Player]:[FP/G]],7,FALSE)</f>
        <v>2.8304418367535198</v>
      </c>
      <c r="D111" s="14">
        <f>COUNT($C$6:C111)</f>
        <v>106</v>
      </c>
      <c r="E111" s="13">
        <f t="shared" si="1"/>
        <v>-0.3093622505645004</v>
      </c>
    </row>
    <row r="112" spans="2:5" x14ac:dyDescent="0.25">
      <c r="B112" s="1" t="str">
        <v>Tony DeAngelo</v>
      </c>
      <c r="C112" s="13">
        <f>VLOOKUP(B112,Table1[[Player]:[FP/G]],7,FALSE)</f>
        <v>2.8086062787341302</v>
      </c>
      <c r="D112" s="14">
        <f>COUNT($C$6:C112)</f>
        <v>107</v>
      </c>
      <c r="E112" s="13">
        <f t="shared" si="1"/>
        <v>-0.33119780858389003</v>
      </c>
    </row>
    <row r="113" spans="2:5" x14ac:dyDescent="0.25">
      <c r="B113" s="1" t="str">
        <v>Brett Pesce</v>
      </c>
      <c r="C113" s="13">
        <f>VLOOKUP(B113,Table1[[Player]:[FP/G]],7,FALSE)</f>
        <v>2.7944012279163801</v>
      </c>
      <c r="D113" s="14">
        <f>COUNT($C$6:C113)</f>
        <v>108</v>
      </c>
      <c r="E113" s="13">
        <f t="shared" si="1"/>
        <v>-0.34540285940164006</v>
      </c>
    </row>
    <row r="114" spans="2:5" x14ac:dyDescent="0.25">
      <c r="B114" s="1" t="str">
        <v>Dmitry Kulikov</v>
      </c>
      <c r="C114" s="13">
        <f>VLOOKUP(B114,Table1[[Player]:[FP/G]],7,FALSE)</f>
        <v>2.7845096842289099</v>
      </c>
      <c r="D114" s="14">
        <f>COUNT($C$6:C114)</f>
        <v>109</v>
      </c>
      <c r="E114" s="13">
        <f t="shared" si="1"/>
        <v>-0.35529440308911031</v>
      </c>
    </row>
    <row r="115" spans="2:5" x14ac:dyDescent="0.25">
      <c r="B115" s="1" t="str">
        <v>Connor Clifton</v>
      </c>
      <c r="C115" s="13">
        <f>VLOOKUP(B115,Table1[[Player]:[FP/G]],7,FALSE)</f>
        <v>2.7721576101113601</v>
      </c>
      <c r="D115" s="14">
        <f>COUNT($C$6:C115)</f>
        <v>110</v>
      </c>
      <c r="E115" s="13">
        <f t="shared" si="1"/>
        <v>-0.3676464772066601</v>
      </c>
    </row>
    <row r="116" spans="2:5" x14ac:dyDescent="0.25">
      <c r="B116" s="1" t="str">
        <v>Ryan McDonagh</v>
      </c>
      <c r="C116" s="13">
        <f>VLOOKUP(B116,Table1[[Player]:[FP/G]],7,FALSE)</f>
        <v>2.76599073579162</v>
      </c>
      <c r="D116" s="14">
        <f>COUNT($C$6:C116)</f>
        <v>111</v>
      </c>
      <c r="E116" s="13">
        <f t="shared" si="1"/>
        <v>-0.37381335152640016</v>
      </c>
    </row>
    <row r="117" spans="2:5" x14ac:dyDescent="0.25">
      <c r="B117" s="1" t="str">
        <v>Erik Cernak</v>
      </c>
      <c r="C117" s="13">
        <f>VLOOKUP(B117,Table1[[Player]:[FP/G]],7,FALSE)</f>
        <v>2.7286603802745302</v>
      </c>
      <c r="D117" s="14">
        <f>COUNT($C$6:C117)</f>
        <v>112</v>
      </c>
      <c r="E117" s="13">
        <f t="shared" si="1"/>
        <v>-0.41114370704349001</v>
      </c>
    </row>
    <row r="118" spans="2:5" x14ac:dyDescent="0.25">
      <c r="B118" s="1" t="str">
        <v>Nick Jensen</v>
      </c>
      <c r="C118" s="13">
        <f>VLOOKUP(B118,Table1[[Player]:[FP/G]],7,FALSE)</f>
        <v>2.7275328702530701</v>
      </c>
      <c r="D118" s="14">
        <f>COUNT($C$6:C118)</f>
        <v>113</v>
      </c>
      <c r="E118" s="13">
        <f t="shared" si="1"/>
        <v>-0.41227121706495007</v>
      </c>
    </row>
    <row r="119" spans="2:5" x14ac:dyDescent="0.25">
      <c r="B119" s="1" t="str">
        <v>Mario Ferraro</v>
      </c>
      <c r="C119" s="13">
        <f>VLOOKUP(B119,Table1[[Player]:[FP/G]],7,FALSE)</f>
        <v>2.7163946793471898</v>
      </c>
      <c r="D119" s="14">
        <f>COUNT($C$6:C119)</f>
        <v>114</v>
      </c>
      <c r="E119" s="13">
        <f t="shared" si="1"/>
        <v>-0.42340940797083038</v>
      </c>
    </row>
    <row r="120" spans="2:5" x14ac:dyDescent="0.25">
      <c r="B120" s="1" t="str">
        <v>Cody Ceci</v>
      </c>
      <c r="C120" s="13">
        <f>VLOOKUP(B120,Table1[[Player]:[FP/G]],7,FALSE)</f>
        <v>2.6968696764893898</v>
      </c>
      <c r="D120" s="14">
        <f>COUNT($C$6:C120)</f>
        <v>115</v>
      </c>
      <c r="E120" s="13">
        <f t="shared" si="1"/>
        <v>-0.44293441082863039</v>
      </c>
    </row>
    <row r="121" spans="2:5" x14ac:dyDescent="0.25">
      <c r="B121" s="1" t="str">
        <v>Ryan Lindgren</v>
      </c>
      <c r="C121" s="13">
        <f>VLOOKUP(B121,Table1[[Player]:[FP/G]],7,FALSE)</f>
        <v>2.6931659293453798</v>
      </c>
      <c r="D121" s="14">
        <f>COUNT($C$6:C121)</f>
        <v>116</v>
      </c>
      <c r="E121" s="13">
        <f t="shared" si="1"/>
        <v>-0.44663815797264039</v>
      </c>
    </row>
    <row r="122" spans="2:5" x14ac:dyDescent="0.25">
      <c r="B122" s="1" t="str">
        <v>Mathew Dumba</v>
      </c>
      <c r="C122" s="13">
        <f>VLOOKUP(B122,Table1[[Player]:[FP/G]],7,FALSE)</f>
        <v>2.6735859251981702</v>
      </c>
      <c r="D122" s="14">
        <f>COUNT($C$6:C122)</f>
        <v>117</v>
      </c>
      <c r="E122" s="13">
        <f t="shared" si="1"/>
        <v>-0.46621816211985001</v>
      </c>
    </row>
    <row r="123" spans="2:5" x14ac:dyDescent="0.25">
      <c r="B123" s="1" t="str">
        <v>Artem Zub</v>
      </c>
      <c r="C123" s="13">
        <f>VLOOKUP(B123,Table1[[Player]:[FP/G]],7,FALSE)</f>
        <v>2.66648388885943</v>
      </c>
      <c r="D123" s="14">
        <f>COUNT($C$6:C123)</f>
        <v>118</v>
      </c>
      <c r="E123" s="13">
        <f t="shared" si="1"/>
        <v>-0.47332019845859019</v>
      </c>
    </row>
    <row r="124" spans="2:5" x14ac:dyDescent="0.25">
      <c r="B124" s="1" t="str">
        <v>Ian Cole</v>
      </c>
      <c r="C124" s="13">
        <f>VLOOKUP(B124,Table1[[Player]:[FP/G]],7,FALSE)</f>
        <v>2.6660567285352799</v>
      </c>
      <c r="D124" s="14">
        <f>COUNT($C$6:C124)</f>
        <v>119</v>
      </c>
      <c r="E124" s="13">
        <f t="shared" si="1"/>
        <v>-0.47374735878274032</v>
      </c>
    </row>
    <row r="125" spans="2:5" x14ac:dyDescent="0.25">
      <c r="B125" s="1" t="str">
        <v>Carson Soucy</v>
      </c>
      <c r="C125" s="13">
        <f>VLOOKUP(B125,Table1[[Player]:[FP/G]],7,FALSE)</f>
        <v>2.6560062350762701</v>
      </c>
      <c r="D125" s="14">
        <f>COUNT($C$6:C125)</f>
        <v>120</v>
      </c>
      <c r="E125" s="13">
        <f t="shared" si="1"/>
        <v>-0.48379785224175009</v>
      </c>
    </row>
    <row r="126" spans="2:5" x14ac:dyDescent="0.25">
      <c r="B126" s="1" t="str">
        <v>Conor Timmins</v>
      </c>
      <c r="C126" s="13">
        <f>VLOOKUP(B126,Table1[[Player]:[FP/G]],7,FALSE)</f>
        <v>2.6351639542169201</v>
      </c>
      <c r="D126" s="14">
        <f>COUNT($C$6:C126)</f>
        <v>121</v>
      </c>
      <c r="E126" s="13">
        <f t="shared" si="1"/>
        <v>-0.50464013310110012</v>
      </c>
    </row>
    <row r="127" spans="2:5" x14ac:dyDescent="0.25">
      <c r="B127" s="1" t="str">
        <v>Nick Blankenburg</v>
      </c>
      <c r="C127" s="13">
        <f>VLOOKUP(B127,Table1[[Player]:[FP/G]],7,FALSE)</f>
        <v>2.62537493347596</v>
      </c>
      <c r="D127" s="14">
        <f>COUNT($C$6:C127)</f>
        <v>122</v>
      </c>
      <c r="E127" s="13">
        <f t="shared" si="1"/>
        <v>-0.51442915384206023</v>
      </c>
    </row>
    <row r="128" spans="2:5" x14ac:dyDescent="0.25">
      <c r="B128" s="1" t="str">
        <v>Jalen Chatfield</v>
      </c>
      <c r="C128" s="13">
        <f>VLOOKUP(B128,Table1[[Player]:[FP/G]],7,FALSE)</f>
        <v>2.6244039866492601</v>
      </c>
      <c r="D128" s="14">
        <f>COUNT($C$6:C128)</f>
        <v>123</v>
      </c>
      <c r="E128" s="13">
        <f t="shared" si="1"/>
        <v>-0.51540010066876007</v>
      </c>
    </row>
    <row r="129" spans="2:5" x14ac:dyDescent="0.25">
      <c r="B129" s="1" t="str">
        <v>Erik Gustafsson</v>
      </c>
      <c r="C129" s="13">
        <f>VLOOKUP(B129,Table1[[Player]:[FP/G]],7,FALSE)</f>
        <v>2.62364465482707</v>
      </c>
      <c r="D129" s="14">
        <f>COUNT($C$6:C129)</f>
        <v>124</v>
      </c>
      <c r="E129" s="13">
        <f t="shared" si="1"/>
        <v>-0.5161594324909502</v>
      </c>
    </row>
    <row r="130" spans="2:5" x14ac:dyDescent="0.25">
      <c r="B130" s="1" t="str">
        <v>John Marino</v>
      </c>
      <c r="C130" s="13">
        <f>VLOOKUP(B130,Table1[[Player]:[FP/G]],7,FALSE)</f>
        <v>2.6160801427073599</v>
      </c>
      <c r="D130" s="14">
        <f>COUNT($C$6:C130)</f>
        <v>125</v>
      </c>
      <c r="E130" s="13">
        <f t="shared" si="1"/>
        <v>-0.5237239446106603</v>
      </c>
    </row>
    <row r="131" spans="2:5" x14ac:dyDescent="0.25">
      <c r="B131" s="1" t="str">
        <v>Jamie Oleksiak</v>
      </c>
      <c r="C131" s="13">
        <f>VLOOKUP(B131,Table1[[Player]:[FP/G]],7,FALSE)</f>
        <v>2.6145065905696199</v>
      </c>
      <c r="D131" s="14">
        <f>COUNT($C$6:C131)</f>
        <v>126</v>
      </c>
      <c r="E131" s="13">
        <f t="shared" si="1"/>
        <v>-0.52529749674840032</v>
      </c>
    </row>
    <row r="132" spans="2:5" x14ac:dyDescent="0.25">
      <c r="B132" s="1" t="str">
        <v>Ben Chiarot</v>
      </c>
      <c r="C132" s="13">
        <f>VLOOKUP(B132,Table1[[Player]:[FP/G]],7,FALSE)</f>
        <v>2.6131080350707898</v>
      </c>
      <c r="D132" s="14">
        <f>COUNT($C$6:C132)</f>
        <v>127</v>
      </c>
      <c r="E132" s="13">
        <f t="shared" si="1"/>
        <v>-0.52669605224723037</v>
      </c>
    </row>
    <row r="133" spans="2:5" x14ac:dyDescent="0.25">
      <c r="B133" s="1" t="str">
        <v>Luke Schenn</v>
      </c>
      <c r="C133" s="13">
        <f>VLOOKUP(B133,Table1[[Player]:[FP/G]],7,FALSE)</f>
        <v>2.60272698235514</v>
      </c>
      <c r="D133" s="14">
        <f>COUNT($C$6:C133)</f>
        <v>128</v>
      </c>
      <c r="E133" s="13">
        <f t="shared" si="1"/>
        <v>-0.53707710496288019</v>
      </c>
    </row>
    <row r="134" spans="2:5" x14ac:dyDescent="0.25">
      <c r="B134" s="1" t="str">
        <v>Joel Edmundson</v>
      </c>
      <c r="C134" s="13">
        <f>VLOOKUP(B134,Table1[[Player]:[FP/G]],7,FALSE)</f>
        <v>2.6019534528574</v>
      </c>
      <c r="D134" s="14">
        <f>COUNT($C$6:C134)</f>
        <v>129</v>
      </c>
      <c r="E134" s="13">
        <f t="shared" si="1"/>
        <v>-0.5378506344606202</v>
      </c>
    </row>
    <row r="135" spans="2:5" x14ac:dyDescent="0.25">
      <c r="B135" s="1" t="str">
        <v>Vincent Desharnais</v>
      </c>
      <c r="C135" s="13">
        <f>VLOOKUP(B135,Table1[[Player]:[FP/G]],7,FALSE)</f>
        <v>2.58553406074634</v>
      </c>
      <c r="D135" s="14">
        <f>COUNT($C$6:C135)</f>
        <v>130</v>
      </c>
      <c r="E135" s="13">
        <f t="shared" ref="E135:E198" si="2">C135-VLOOKUP($C$3,$B$6:$D$187,2,FALSE)</f>
        <v>-0.55427002657168023</v>
      </c>
    </row>
    <row r="136" spans="2:5" x14ac:dyDescent="0.25">
      <c r="B136" s="1" t="str">
        <v>David Jiricek</v>
      </c>
      <c r="C136" s="13">
        <f>VLOOKUP(B136,Table1[[Player]:[FP/G]],7,FALSE)</f>
        <v>2.58375152274317</v>
      </c>
      <c r="D136" s="14">
        <f>COUNT($C$6:C136)</f>
        <v>131</v>
      </c>
      <c r="E136" s="13">
        <f t="shared" si="2"/>
        <v>-0.55605256457485019</v>
      </c>
    </row>
    <row r="137" spans="2:5" x14ac:dyDescent="0.25">
      <c r="B137" s="1" t="str">
        <v>Zach Whitecloud</v>
      </c>
      <c r="C137" s="13">
        <f>VLOOKUP(B137,Table1[[Player]:[FP/G]],7,FALSE)</f>
        <v>2.5638666746902898</v>
      </c>
      <c r="D137" s="14">
        <f>COUNT($C$6:C137)</f>
        <v>132</v>
      </c>
      <c r="E137" s="13">
        <f t="shared" si="2"/>
        <v>-0.57593741262773035</v>
      </c>
    </row>
    <row r="138" spans="2:5" x14ac:dyDescent="0.25">
      <c r="B138" s="1" t="str">
        <v>Colin Miller</v>
      </c>
      <c r="C138" s="13">
        <f>VLOOKUP(B138,Table1[[Player]:[FP/G]],7,FALSE)</f>
        <v>2.5535281412392901</v>
      </c>
      <c r="D138" s="14">
        <f>COUNT($C$6:C138)</f>
        <v>133</v>
      </c>
      <c r="E138" s="13">
        <f t="shared" si="2"/>
        <v>-0.58627594607873013</v>
      </c>
    </row>
    <row r="139" spans="2:5" x14ac:dyDescent="0.25">
      <c r="B139" s="1" t="str">
        <v>Nick Leddy</v>
      </c>
      <c r="C139" s="13">
        <f>VLOOKUP(B139,Table1[[Player]:[FP/G]],7,FALSE)</f>
        <v>2.5489217111147799</v>
      </c>
      <c r="D139" s="14">
        <f>COUNT($C$6:C139)</f>
        <v>134</v>
      </c>
      <c r="E139" s="13">
        <f t="shared" si="2"/>
        <v>-0.59088237620324024</v>
      </c>
    </row>
    <row r="140" spans="2:5" x14ac:dyDescent="0.25">
      <c r="B140" s="1" t="str">
        <v>Jonas Siegenthaler</v>
      </c>
      <c r="C140" s="13">
        <f>VLOOKUP(B140,Table1[[Player]:[FP/G]],7,FALSE)</f>
        <v>2.5468408476231201</v>
      </c>
      <c r="D140" s="14">
        <f>COUNT($C$6:C140)</f>
        <v>135</v>
      </c>
      <c r="E140" s="13">
        <f t="shared" si="2"/>
        <v>-0.59296323969490006</v>
      </c>
    </row>
    <row r="141" spans="2:5" x14ac:dyDescent="0.25">
      <c r="B141" s="1" t="str">
        <v>Kevin Bahl</v>
      </c>
      <c r="C141" s="13">
        <f>VLOOKUP(B141,Table1[[Player]:[FP/G]],7,FALSE)</f>
        <v>2.5343993687853699</v>
      </c>
      <c r="D141" s="14">
        <f>COUNT($C$6:C141)</f>
        <v>136</v>
      </c>
      <c r="E141" s="13">
        <f t="shared" si="2"/>
        <v>-0.60540471853265032</v>
      </c>
    </row>
    <row r="142" spans="2:5" x14ac:dyDescent="0.25">
      <c r="B142" s="1" t="str">
        <v>Matt Grzelcyk</v>
      </c>
      <c r="C142" s="13">
        <f>VLOOKUP(B142,Table1[[Player]:[FP/G]],7,FALSE)</f>
        <v>2.5276606751790598</v>
      </c>
      <c r="D142" s="14">
        <f>COUNT($C$6:C142)</f>
        <v>137</v>
      </c>
      <c r="E142" s="13">
        <f t="shared" si="2"/>
        <v>-0.6121434121389604</v>
      </c>
    </row>
    <row r="143" spans="2:5" x14ac:dyDescent="0.25">
      <c r="B143" s="1" t="str">
        <v>Brandon Carlo</v>
      </c>
      <c r="C143" s="13">
        <f>VLOOKUP(B143,Table1[[Player]:[FP/G]],7,FALSE)</f>
        <v>2.52559965748625</v>
      </c>
      <c r="D143" s="14">
        <f>COUNT($C$6:C143)</f>
        <v>138</v>
      </c>
      <c r="E143" s="13">
        <f t="shared" si="2"/>
        <v>-0.61420442983177015</v>
      </c>
    </row>
    <row r="144" spans="2:5" x14ac:dyDescent="0.25">
      <c r="B144" s="1" t="str">
        <v>Brett Kulak</v>
      </c>
      <c r="C144" s="13">
        <f>VLOOKUP(B144,Table1[[Player]:[FP/G]],7,FALSE)</f>
        <v>2.5000359783192199</v>
      </c>
      <c r="D144" s="14">
        <f>COUNT($C$6:C144)</f>
        <v>139</v>
      </c>
      <c r="E144" s="13">
        <f t="shared" si="2"/>
        <v>-0.63976810899880032</v>
      </c>
    </row>
    <row r="145" spans="2:5" x14ac:dyDescent="0.25">
      <c r="B145" s="1" t="str">
        <v>Daniil Miromanov</v>
      </c>
      <c r="C145" s="13">
        <f>VLOOKUP(B145,Table1[[Player]:[FP/G]],7,FALSE)</f>
        <v>2.48994861405198</v>
      </c>
      <c r="D145" s="14">
        <f>COUNT($C$6:C145)</f>
        <v>140</v>
      </c>
      <c r="E145" s="13">
        <f t="shared" si="2"/>
        <v>-0.64985547326604021</v>
      </c>
    </row>
    <row r="146" spans="2:5" x14ac:dyDescent="0.25">
      <c r="B146" s="1" t="str">
        <v>Justin Barron</v>
      </c>
      <c r="C146" s="13">
        <f>VLOOKUP(B146,Table1[[Player]:[FP/G]],7,FALSE)</f>
        <v>2.4770934050078801</v>
      </c>
      <c r="D146" s="14">
        <f>COUNT($C$6:C146)</f>
        <v>141</v>
      </c>
      <c r="E146" s="13">
        <f t="shared" si="2"/>
        <v>-0.66271068231014008</v>
      </c>
    </row>
    <row r="147" spans="2:5" x14ac:dyDescent="0.25">
      <c r="B147" s="1" t="str">
        <v>Travis Hamonic</v>
      </c>
      <c r="C147" s="13">
        <f>VLOOKUP(B147,Table1[[Player]:[FP/G]],7,FALSE)</f>
        <v>2.4513032943689002</v>
      </c>
      <c r="D147" s="14">
        <f>COUNT($C$6:C147)</f>
        <v>142</v>
      </c>
      <c r="E147" s="13">
        <f t="shared" si="2"/>
        <v>-0.68850079294912003</v>
      </c>
    </row>
    <row r="148" spans="2:5" x14ac:dyDescent="0.25">
      <c r="B148" s="1" t="str">
        <v>Nate Schmidt</v>
      </c>
      <c r="C148" s="13">
        <f>VLOOKUP(B148,Table1[[Player]:[FP/G]],7,FALSE)</f>
        <v>2.4415552853268898</v>
      </c>
      <c r="D148" s="14">
        <f>COUNT($C$6:C148)</f>
        <v>143</v>
      </c>
      <c r="E148" s="13">
        <f t="shared" si="2"/>
        <v>-0.69824880199113037</v>
      </c>
    </row>
    <row r="149" spans="2:5" x14ac:dyDescent="0.25">
      <c r="B149" s="1" t="str">
        <v>Trevor van Riemsdyk</v>
      </c>
      <c r="C149" s="13">
        <f>VLOOKUP(B149,Table1[[Player]:[FP/G]],7,FALSE)</f>
        <v>2.4232545593475199</v>
      </c>
      <c r="D149" s="14">
        <f>COUNT($C$6:C149)</f>
        <v>144</v>
      </c>
      <c r="E149" s="13">
        <f t="shared" si="2"/>
        <v>-0.71654952797050031</v>
      </c>
    </row>
    <row r="150" spans="2:5" x14ac:dyDescent="0.25">
      <c r="B150" s="1" t="str">
        <v>Brayden Pachal</v>
      </c>
      <c r="C150" s="13">
        <f>VLOOKUP(B150,Table1[[Player]:[FP/G]],7,FALSE)</f>
        <v>2.4232185296895299</v>
      </c>
      <c r="D150" s="14">
        <f>COUNT($C$6:C150)</f>
        <v>145</v>
      </c>
      <c r="E150" s="13">
        <f t="shared" si="2"/>
        <v>-0.7165855576284903</v>
      </c>
    </row>
    <row r="151" spans="2:5" x14ac:dyDescent="0.25">
      <c r="B151" s="1" t="str">
        <v>Alex Carrier</v>
      </c>
      <c r="C151" s="13">
        <f>VLOOKUP(B151,Table1[[Player]:[FP/G]],7,FALSE)</f>
        <v>2.4172835995945099</v>
      </c>
      <c r="D151" s="14">
        <f>COUNT($C$6:C151)</f>
        <v>146</v>
      </c>
      <c r="E151" s="13">
        <f t="shared" si="2"/>
        <v>-0.7225204877235103</v>
      </c>
    </row>
    <row r="152" spans="2:5" x14ac:dyDescent="0.25">
      <c r="B152" s="1" t="str">
        <v>Olli Maatta</v>
      </c>
      <c r="C152" s="13">
        <f>VLOOKUP(B152,Table1[[Player]:[FP/G]],7,FALSE)</f>
        <v>2.4161467358869801</v>
      </c>
      <c r="D152" s="14">
        <f>COUNT($C$6:C152)</f>
        <v>147</v>
      </c>
      <c r="E152" s="13">
        <f t="shared" si="2"/>
        <v>-0.72365735143104004</v>
      </c>
    </row>
    <row r="153" spans="2:5" x14ac:dyDescent="0.25">
      <c r="B153" s="1" t="str">
        <v>Ilya Lyubushkin</v>
      </c>
      <c r="C153" s="13">
        <f>VLOOKUP(B153,Table1[[Player]:[FP/G]],7,FALSE)</f>
        <v>2.4090287629593199</v>
      </c>
      <c r="D153" s="14">
        <f>COUNT($C$6:C153)</f>
        <v>148</v>
      </c>
      <c r="E153" s="13">
        <f t="shared" si="2"/>
        <v>-0.7307753243587003</v>
      </c>
    </row>
    <row r="154" spans="2:5" x14ac:dyDescent="0.25">
      <c r="B154" s="1" t="str">
        <v>Henri Jokiharju</v>
      </c>
      <c r="C154" s="13">
        <f>VLOOKUP(B154,Table1[[Player]:[FP/G]],7,FALSE)</f>
        <v>2.4047703246529499</v>
      </c>
      <c r="D154" s="14">
        <f>COUNT($C$6:C154)</f>
        <v>149</v>
      </c>
      <c r="E154" s="13">
        <f t="shared" si="2"/>
        <v>-0.73503376266507026</v>
      </c>
    </row>
    <row r="155" spans="2:5" x14ac:dyDescent="0.25">
      <c r="B155" s="1" t="str">
        <v>Brian Dumoulin</v>
      </c>
      <c r="C155" s="13">
        <f>VLOOKUP(B155,Table1[[Player]:[FP/G]],7,FALSE)</f>
        <v>2.40350651702812</v>
      </c>
      <c r="D155" s="14">
        <f>COUNT($C$6:C155)</f>
        <v>150</v>
      </c>
      <c r="E155" s="13">
        <f t="shared" si="2"/>
        <v>-0.73629757028990017</v>
      </c>
    </row>
    <row r="156" spans="2:5" x14ac:dyDescent="0.25">
      <c r="B156" s="1" t="str">
        <v>Nicolas Hague</v>
      </c>
      <c r="C156" s="13">
        <f>VLOOKUP(B156,Table1[[Player]:[FP/G]],7,FALSE)</f>
        <v>2.4010744309035199</v>
      </c>
      <c r="D156" s="14">
        <f>COUNT($C$6:C156)</f>
        <v>151</v>
      </c>
      <c r="E156" s="13">
        <f t="shared" si="2"/>
        <v>-0.73872965641450028</v>
      </c>
    </row>
    <row r="157" spans="2:5" x14ac:dyDescent="0.25">
      <c r="B157" s="1" t="str">
        <v>Ryan Graves</v>
      </c>
      <c r="C157" s="13">
        <f>VLOOKUP(B157,Table1[[Player]:[FP/G]],7,FALSE)</f>
        <v>2.3714238520712101</v>
      </c>
      <c r="D157" s="14">
        <f>COUNT($C$6:C157)</f>
        <v>152</v>
      </c>
      <c r="E157" s="13">
        <f t="shared" si="2"/>
        <v>-0.76838023524681009</v>
      </c>
    </row>
    <row r="158" spans="2:5" x14ac:dyDescent="0.25">
      <c r="B158" s="1" t="str">
        <v>Scott Mayfield</v>
      </c>
      <c r="C158" s="13">
        <f>VLOOKUP(B158,Table1[[Player]:[FP/G]],7,FALSE)</f>
        <v>2.3543300041499702</v>
      </c>
      <c r="D158" s="14">
        <f>COUNT($C$6:C158)</f>
        <v>153</v>
      </c>
      <c r="E158" s="13">
        <f t="shared" si="2"/>
        <v>-0.78547408316805001</v>
      </c>
    </row>
    <row r="159" spans="2:5" x14ac:dyDescent="0.25">
      <c r="B159" s="1" t="str">
        <v>Justin Holl</v>
      </c>
      <c r="C159" s="13">
        <f>VLOOKUP(B159,Table1[[Player]:[FP/G]],7,FALSE)</f>
        <v>2.35160089239481</v>
      </c>
      <c r="D159" s="14">
        <f>COUNT($C$6:C159)</f>
        <v>154</v>
      </c>
      <c r="E159" s="13">
        <f t="shared" si="2"/>
        <v>-0.78820319492321023</v>
      </c>
    </row>
    <row r="160" spans="2:5" x14ac:dyDescent="0.25">
      <c r="B160" s="1" t="str">
        <v>Rasmus Ristolainen</v>
      </c>
      <c r="C160" s="13">
        <f>VLOOKUP(B160,Table1[[Player]:[FP/G]],7,FALSE)</f>
        <v>2.34813394735031</v>
      </c>
      <c r="D160" s="14">
        <f>COUNT($C$6:C160)</f>
        <v>155</v>
      </c>
      <c r="E160" s="13">
        <f t="shared" si="2"/>
        <v>-0.79167013996771018</v>
      </c>
    </row>
    <row r="161" spans="2:5" x14ac:dyDescent="0.25">
      <c r="B161" s="1" t="str">
        <v>Kyle Burroughs</v>
      </c>
      <c r="C161" s="13">
        <f>VLOOKUP(B161,Table1[[Player]:[FP/G]],7,FALSE)</f>
        <v>2.31548970657047</v>
      </c>
      <c r="D161" s="14">
        <f>COUNT($C$6:C161)</f>
        <v>156</v>
      </c>
      <c r="E161" s="13">
        <f t="shared" si="2"/>
        <v>-0.82431438074755015</v>
      </c>
    </row>
    <row r="162" spans="2:5" x14ac:dyDescent="0.25">
      <c r="B162" s="1" t="str">
        <v>Simon Benoit</v>
      </c>
      <c r="C162" s="13">
        <f>VLOOKUP(B162,Table1[[Player]:[FP/G]],7,FALSE)</f>
        <v>2.2725238933697698</v>
      </c>
      <c r="D162" s="14">
        <f>COUNT($C$6:C162)</f>
        <v>157</v>
      </c>
      <c r="E162" s="13">
        <f t="shared" si="2"/>
        <v>-0.8672801939482504</v>
      </c>
    </row>
    <row r="163" spans="2:5" x14ac:dyDescent="0.25">
      <c r="B163" s="1" t="str">
        <v>Christopher Tanev</v>
      </c>
      <c r="C163" s="13">
        <f>VLOOKUP(B163,Table1[[Player]:[FP/G]],7,FALSE)</f>
        <v>2.26956750444264</v>
      </c>
      <c r="D163" s="14">
        <f>COUNT($C$6:C163)</f>
        <v>158</v>
      </c>
      <c r="E163" s="13">
        <f t="shared" si="2"/>
        <v>-0.87023658287538019</v>
      </c>
    </row>
    <row r="164" spans="2:5" x14ac:dyDescent="0.25">
      <c r="B164" s="1" t="str">
        <v>Timothy Liljegren</v>
      </c>
      <c r="C164" s="13">
        <f>VLOOKUP(B164,Table1[[Player]:[FP/G]],7,FALSE)</f>
        <v>2.2677061292048002</v>
      </c>
      <c r="D164" s="14">
        <f>COUNT($C$6:C164)</f>
        <v>159</v>
      </c>
      <c r="E164" s="13">
        <f t="shared" si="2"/>
        <v>-0.87209795811322</v>
      </c>
    </row>
    <row r="165" spans="2:5" x14ac:dyDescent="0.25">
      <c r="B165" s="1" t="str">
        <v>Jacob Bernard-Docker</v>
      </c>
      <c r="C165" s="13">
        <f>VLOOKUP(B165,Table1[[Player]:[FP/G]],7,FALSE)</f>
        <v>2.2611486756160302</v>
      </c>
      <c r="D165" s="14">
        <f>COUNT($C$6:C165)</f>
        <v>160</v>
      </c>
      <c r="E165" s="13">
        <f t="shared" si="2"/>
        <v>-0.87865541170199002</v>
      </c>
    </row>
    <row r="166" spans="2:5" x14ac:dyDescent="0.25">
      <c r="B166" s="1" t="str">
        <v>Zach Bogosian</v>
      </c>
      <c r="C166" s="13">
        <f>VLOOKUP(B166,Table1[[Player]:[FP/G]],7,FALSE)</f>
        <v>2.2150838560946902</v>
      </c>
      <c r="D166" s="14">
        <f>COUNT($C$6:C166)</f>
        <v>161</v>
      </c>
      <c r="E166" s="13">
        <f t="shared" si="2"/>
        <v>-0.92472023122333002</v>
      </c>
    </row>
    <row r="167" spans="2:5" x14ac:dyDescent="0.25">
      <c r="B167" s="1" t="str">
        <v>Andrew Peeke</v>
      </c>
      <c r="C167" s="13">
        <f>VLOOKUP(B167,Table1[[Player]:[FP/G]],7,FALSE)</f>
        <v>2.2014380066491599</v>
      </c>
      <c r="D167" s="14">
        <f>COUNT($C$6:C167)</f>
        <v>162</v>
      </c>
      <c r="E167" s="13">
        <f t="shared" si="2"/>
        <v>-0.93836608066886029</v>
      </c>
    </row>
    <row r="168" spans="2:5" x14ac:dyDescent="0.25">
      <c r="B168" s="1" t="str">
        <v>Andreas Englund</v>
      </c>
      <c r="C168" s="13">
        <f>VLOOKUP(B168,Table1[[Player]:[FP/G]],7,FALSE)</f>
        <v>2.1677014630337301</v>
      </c>
      <c r="D168" s="14">
        <f>COUNT($C$6:C168)</f>
        <v>163</v>
      </c>
      <c r="E168" s="13">
        <f t="shared" si="2"/>
        <v>-0.97210262428429006</v>
      </c>
    </row>
    <row r="169" spans="2:5" x14ac:dyDescent="0.25">
      <c r="B169" s="1" t="str">
        <v>Kaedan Korczak</v>
      </c>
      <c r="C169" s="13">
        <f>VLOOKUP(B169,Table1[[Player]:[FP/G]],7,FALSE)</f>
        <v>2.1651660982388998</v>
      </c>
      <c r="D169" s="14">
        <f>COUNT($C$6:C169)</f>
        <v>164</v>
      </c>
      <c r="E169" s="13">
        <f t="shared" si="2"/>
        <v>-0.97463798907912036</v>
      </c>
    </row>
    <row r="170" spans="2:5" x14ac:dyDescent="0.25">
      <c r="B170" s="1" t="str">
        <v>Juuso Valimaki</v>
      </c>
      <c r="C170" s="13">
        <f>VLOOKUP(B170,Table1[[Player]:[FP/G]],7,FALSE)</f>
        <v>2.15952377930742</v>
      </c>
      <c r="D170" s="14">
        <f>COUNT($C$6:C170)</f>
        <v>165</v>
      </c>
      <c r="E170" s="13">
        <f t="shared" si="2"/>
        <v>-0.98028030801060018</v>
      </c>
    </row>
    <row r="171" spans="2:5" x14ac:dyDescent="0.25">
      <c r="B171" s="1" t="str">
        <v>Erik Brannstrom</v>
      </c>
      <c r="C171" s="13">
        <f>VLOOKUP(B171,Table1[[Player]:[FP/G]],7,FALSE)</f>
        <v>2.1553955141133301</v>
      </c>
      <c r="D171" s="14">
        <f>COUNT($C$6:C171)</f>
        <v>166</v>
      </c>
      <c r="E171" s="13">
        <f t="shared" si="2"/>
        <v>-0.98440857320469011</v>
      </c>
    </row>
    <row r="172" spans="2:5" x14ac:dyDescent="0.25">
      <c r="B172" s="1" t="str">
        <v>Wyatt Kaiser</v>
      </c>
      <c r="C172" s="13">
        <f>VLOOKUP(B172,Table1[[Player]:[FP/G]],7,FALSE)</f>
        <v>2.1535562384685498</v>
      </c>
      <c r="D172" s="14">
        <f>COUNT($C$6:C172)</f>
        <v>167</v>
      </c>
      <c r="E172" s="13">
        <f t="shared" si="2"/>
        <v>-0.98624784884947037</v>
      </c>
    </row>
    <row r="173" spans="2:5" x14ac:dyDescent="0.25">
      <c r="B173" s="1" t="str">
        <v>Will Borgen</v>
      </c>
      <c r="C173" s="13">
        <f>VLOOKUP(B173,Table1[[Player]:[FP/G]],7,FALSE)</f>
        <v>2.1383719097888898</v>
      </c>
      <c r="D173" s="14">
        <f>COUNT($C$6:C173)</f>
        <v>168</v>
      </c>
      <c r="E173" s="13">
        <f t="shared" si="2"/>
        <v>-1.0014321775291304</v>
      </c>
    </row>
    <row r="174" spans="2:5" x14ac:dyDescent="0.25">
      <c r="B174" s="1" t="str">
        <v>Henry Thrun</v>
      </c>
      <c r="C174" s="13">
        <f>VLOOKUP(B174,Table1[[Player]:[FP/G]],7,FALSE)</f>
        <v>2.1343950988284801</v>
      </c>
      <c r="D174" s="14">
        <f>COUNT($C$6:C174)</f>
        <v>169</v>
      </c>
      <c r="E174" s="13">
        <f t="shared" si="2"/>
        <v>-1.0054089884895401</v>
      </c>
    </row>
    <row r="175" spans="2:5" x14ac:dyDescent="0.25">
      <c r="B175" s="1" t="str">
        <v>Jordan Harris</v>
      </c>
      <c r="C175" s="13">
        <f>VLOOKUP(B175,Table1[[Player]:[FP/G]],7,FALSE)</f>
        <v>2.13234251646483</v>
      </c>
      <c r="D175" s="14">
        <f>COUNT($C$6:C175)</f>
        <v>170</v>
      </c>
      <c r="E175" s="13">
        <f t="shared" si="2"/>
        <v>-1.0074615708531902</v>
      </c>
    </row>
    <row r="176" spans="2:5" x14ac:dyDescent="0.25">
      <c r="B176" s="1" t="str">
        <v>Tyler Kleven</v>
      </c>
      <c r="C176" s="13">
        <f>VLOOKUP(B176,Table1[[Player]:[FP/G]],7,FALSE)</f>
        <v>2.1266839734101799</v>
      </c>
      <c r="D176" s="14">
        <f>COUNT($C$6:C176)</f>
        <v>171</v>
      </c>
      <c r="E176" s="13">
        <f t="shared" si="2"/>
        <v>-1.0131201139078403</v>
      </c>
    </row>
    <row r="177" spans="2:5" x14ac:dyDescent="0.25">
      <c r="B177" s="1" t="str">
        <v>Jordan Oesterle</v>
      </c>
      <c r="C177" s="13">
        <f>VLOOKUP(B177,Table1[[Player]:[FP/G]],7,FALSE)</f>
        <v>2.1157084360575502</v>
      </c>
      <c r="D177" s="14">
        <f>COUNT($C$6:C177)</f>
        <v>172</v>
      </c>
      <c r="E177" s="13">
        <f t="shared" si="2"/>
        <v>-1.02409565126047</v>
      </c>
    </row>
    <row r="178" spans="2:5" x14ac:dyDescent="0.25">
      <c r="B178" s="1" t="str">
        <v>Nick Perbix</v>
      </c>
      <c r="C178" s="13">
        <f>VLOOKUP(B178,Table1[[Player]:[FP/G]],7,FALSE)</f>
        <v>2.0896007282558702</v>
      </c>
      <c r="D178" s="14">
        <f>COUNT($C$6:C178)</f>
        <v>173</v>
      </c>
      <c r="E178" s="13">
        <f t="shared" si="2"/>
        <v>-1.05020335906215</v>
      </c>
    </row>
    <row r="179" spans="2:5" x14ac:dyDescent="0.25">
      <c r="B179" s="1" t="str">
        <v>Nils Lundkvist</v>
      </c>
      <c r="C179" s="13">
        <f>VLOOKUP(B179,Table1[[Player]:[FP/G]],7,FALSE)</f>
        <v>2.0833978344041002</v>
      </c>
      <c r="D179" s="14">
        <f>COUNT($C$6:C179)</f>
        <v>174</v>
      </c>
      <c r="E179" s="13">
        <f t="shared" si="2"/>
        <v>-1.05640625291392</v>
      </c>
    </row>
    <row r="180" spans="2:5" x14ac:dyDescent="0.25">
      <c r="B180" s="1" t="str">
        <v>Matt Kessel</v>
      </c>
      <c r="C180" s="13">
        <f>VLOOKUP(B180,Table1[[Player]:[FP/G]],7,FALSE)</f>
        <v>2.0823114558746298</v>
      </c>
      <c r="D180" s="14">
        <f>COUNT($C$6:C180)</f>
        <v>175</v>
      </c>
      <c r="E180" s="13">
        <f t="shared" si="2"/>
        <v>-1.0574926314433903</v>
      </c>
    </row>
    <row r="181" spans="2:5" x14ac:dyDescent="0.25">
      <c r="B181" s="1" t="str">
        <v>Adam Boqvist</v>
      </c>
      <c r="C181" s="13">
        <f>VLOOKUP(B181,Table1[[Player]:[FP/G]],7,FALSE)</f>
        <v>2.0625972203998302</v>
      </c>
      <c r="D181" s="14">
        <f>COUNT($C$6:C181)</f>
        <v>176</v>
      </c>
      <c r="E181" s="13">
        <f t="shared" si="2"/>
        <v>-1.07720686691819</v>
      </c>
    </row>
    <row r="182" spans="2:5" x14ac:dyDescent="0.25">
      <c r="B182" s="1" t="str">
        <v>Mike Reilly</v>
      </c>
      <c r="C182" s="13">
        <f>VLOOKUP(B182,Table1[[Player]:[FP/G]],7,FALSE)</f>
        <v>2.0451818969533302</v>
      </c>
      <c r="D182" s="14">
        <f>COUNT($C$6:C182)</f>
        <v>177</v>
      </c>
      <c r="E182" s="13">
        <f t="shared" si="2"/>
        <v>-1.09462219036469</v>
      </c>
    </row>
    <row r="183" spans="2:5" x14ac:dyDescent="0.25">
      <c r="B183" s="1" t="str">
        <v>Egor Zamula</v>
      </c>
      <c r="C183" s="13">
        <f>VLOOKUP(B183,Table1[[Player]:[FP/G]],7,FALSE)</f>
        <v>2.0290189980943301</v>
      </c>
      <c r="D183" s="14">
        <f>COUNT($C$6:C183)</f>
        <v>178</v>
      </c>
      <c r="E183" s="13">
        <f t="shared" si="2"/>
        <v>-1.1107850892236901</v>
      </c>
    </row>
    <row r="184" spans="2:5" x14ac:dyDescent="0.25">
      <c r="B184" s="1" t="str">
        <v>Tyler Tucker</v>
      </c>
      <c r="C184" s="13">
        <f>VLOOKUP(B184,Table1[[Player]:[FP/G]],7,FALSE)</f>
        <v>2.0237606456855901</v>
      </c>
      <c r="D184" s="14">
        <f>COUNT($C$6:C184)</f>
        <v>179</v>
      </c>
      <c r="E184" s="13">
        <f t="shared" si="2"/>
        <v>-1.1160434416324301</v>
      </c>
    </row>
    <row r="185" spans="2:5" x14ac:dyDescent="0.25">
      <c r="B185" s="1" t="str">
        <v>Parker Wotherspoon</v>
      </c>
      <c r="C185" s="13">
        <f>VLOOKUP(B185,Table1[[Player]:[FP/G]],7,FALSE)</f>
        <v>2.0191580679148098</v>
      </c>
      <c r="D185" s="14">
        <f>COUNT($C$6:C185)</f>
        <v>180</v>
      </c>
      <c r="E185" s="13">
        <f t="shared" si="2"/>
        <v>-1.1206460194032104</v>
      </c>
    </row>
    <row r="186" spans="2:5" x14ac:dyDescent="0.25">
      <c r="B186" s="1" t="str">
        <v>Jeff Petry</v>
      </c>
      <c r="C186" s="13">
        <f>VLOOKUP(B186,Table1[[Player]:[FP/G]],7,FALSE)</f>
        <v>2.00967813675758</v>
      </c>
      <c r="D186" s="14">
        <f>COUNT($C$6:C186)</f>
        <v>181</v>
      </c>
      <c r="E186" s="13">
        <f t="shared" si="2"/>
        <v>-1.1301259505604402</v>
      </c>
    </row>
    <row r="187" spans="2:5" x14ac:dyDescent="0.25">
      <c r="B187" s="1" t="str">
        <v>Joel Hanley</v>
      </c>
      <c r="C187" s="13">
        <f>VLOOKUP(B187,Table1[[Player]:[FP/G]],7,FALSE)</f>
        <v>2.0010401568157499</v>
      </c>
      <c r="D187" s="14">
        <f>COUNT($C$6:C187)</f>
        <v>182</v>
      </c>
      <c r="E187" s="13">
        <f t="shared" si="2"/>
        <v>-1.1387639305022703</v>
      </c>
    </row>
    <row r="188" spans="2:5" x14ac:dyDescent="0.25">
      <c r="B188" s="1" t="str">
        <v>Jani Hakanpaa</v>
      </c>
      <c r="C188" s="13">
        <f>VLOOKUP(B188,Table1[[Player]:[FP/G]],7,FALSE)</f>
        <v>1.9972866951145001</v>
      </c>
      <c r="D188" s="14">
        <f>COUNT($C$6:C188)</f>
        <v>183</v>
      </c>
      <c r="E188" s="13">
        <f t="shared" si="2"/>
        <v>-1.1425173922035201</v>
      </c>
    </row>
    <row r="189" spans="2:5" x14ac:dyDescent="0.25">
      <c r="B189" s="1" t="str">
        <v>Jake Bean</v>
      </c>
      <c r="C189" s="13">
        <f>VLOOKUP(B189,Table1[[Player]:[FP/G]],7,FALSE)</f>
        <v>1.9873583478996399</v>
      </c>
      <c r="D189" s="14">
        <f>COUNT($C$6:C189)</f>
        <v>184</v>
      </c>
      <c r="E189" s="13">
        <f t="shared" si="2"/>
        <v>-1.1524457394183802</v>
      </c>
    </row>
    <row r="190" spans="2:5" x14ac:dyDescent="0.25">
      <c r="B190" s="1" t="str">
        <v>Matt Benning</v>
      </c>
      <c r="C190" s="13">
        <f>VLOOKUP(B190,Table1[[Player]:[FP/G]],7,FALSE)</f>
        <v>1.9830708673014401</v>
      </c>
      <c r="D190" s="14">
        <f>COUNT($C$6:C190)</f>
        <v>185</v>
      </c>
      <c r="E190" s="13">
        <f t="shared" si="2"/>
        <v>-1.1567332200165801</v>
      </c>
    </row>
    <row r="191" spans="2:5" x14ac:dyDescent="0.25">
      <c r="B191" s="1" t="str">
        <v>Pierre-Olivier Joseph</v>
      </c>
      <c r="C191" s="13">
        <f>VLOOKUP(B191,Table1[[Player]:[FP/G]],7,FALSE)</f>
        <v>1.9827777104970401</v>
      </c>
      <c r="D191" s="14">
        <f>COUNT($C$6:C191)</f>
        <v>186</v>
      </c>
      <c r="E191" s="13">
        <f t="shared" si="2"/>
        <v>-1.1570263768209801</v>
      </c>
    </row>
    <row r="192" spans="2:5" x14ac:dyDescent="0.25">
      <c r="B192" s="1" t="str">
        <v>Mattias Samuelsson</v>
      </c>
      <c r="C192" s="13">
        <f>VLOOKUP(B192,Table1[[Player]:[FP/G]],7,FALSE)</f>
        <v>1.9769410480745599</v>
      </c>
      <c r="D192" s="14">
        <f>COUNT($C$6:C192)</f>
        <v>187</v>
      </c>
      <c r="E192" s="13">
        <f t="shared" si="2"/>
        <v>-1.1628630392434602</v>
      </c>
    </row>
    <row r="193" spans="2:5" x14ac:dyDescent="0.25">
      <c r="B193" s="1" t="str">
        <v>Calvin de Haan</v>
      </c>
      <c r="C193" s="13">
        <f>VLOOKUP(B193,Table1[[Player]:[FP/G]],7,FALSE)</f>
        <v>1.94909839130799</v>
      </c>
      <c r="D193" s="14">
        <f>COUNT($C$6:C193)</f>
        <v>188</v>
      </c>
      <c r="E193" s="13">
        <f t="shared" si="2"/>
        <v>-1.1907056960100302</v>
      </c>
    </row>
    <row r="194" spans="2:5" x14ac:dyDescent="0.25">
      <c r="B194" s="1" t="str">
        <v>Ian Mitchell</v>
      </c>
      <c r="C194" s="13">
        <f>VLOOKUP(B194,Table1[[Player]:[FP/G]],7,FALSE)</f>
        <v>1.9449169943157101</v>
      </c>
      <c r="D194" s="14">
        <f>COUNT($C$6:C194)</f>
        <v>189</v>
      </c>
      <c r="E194" s="13">
        <f t="shared" si="2"/>
        <v>-1.1948870930023101</v>
      </c>
    </row>
    <row r="195" spans="2:5" x14ac:dyDescent="0.25">
      <c r="B195" s="1" t="str">
        <v>Josh Mahura</v>
      </c>
      <c r="C195" s="13">
        <f>VLOOKUP(B195,Table1[[Player]:[FP/G]],7,FALSE)</f>
        <v>1.9370993257723399</v>
      </c>
      <c r="D195" s="14">
        <f>COUNT($C$6:C195)</f>
        <v>190</v>
      </c>
      <c r="E195" s="13">
        <f t="shared" si="2"/>
        <v>-1.2027047615456803</v>
      </c>
    </row>
    <row r="196" spans="2:5" x14ac:dyDescent="0.25">
      <c r="B196" s="1" t="str">
        <v>Zachary Jones</v>
      </c>
      <c r="C196" s="13">
        <f>VLOOKUP(B196,Table1[[Player]:[FP/G]],7,FALSE)</f>
        <v>1.9361621430147999</v>
      </c>
      <c r="D196" s="14">
        <f>COUNT($C$6:C196)</f>
        <v>191</v>
      </c>
      <c r="E196" s="13">
        <f t="shared" si="2"/>
        <v>-1.2036419443032202</v>
      </c>
    </row>
    <row r="197" spans="2:5" x14ac:dyDescent="0.25">
      <c r="B197" s="1" t="str">
        <v>Haydn Fleury</v>
      </c>
      <c r="C197" s="13">
        <f>VLOOKUP(B197,Table1[[Player]:[FP/G]],7,FALSE)</f>
        <v>1.8988490041938599</v>
      </c>
      <c r="D197" s="14">
        <f>COUNT($C$6:C197)</f>
        <v>192</v>
      </c>
      <c r="E197" s="13">
        <f t="shared" si="2"/>
        <v>-1.2409550831241603</v>
      </c>
    </row>
    <row r="198" spans="2:5" x14ac:dyDescent="0.25">
      <c r="B198" s="1" t="str">
        <v>Urho Vaakanainen</v>
      </c>
      <c r="C198" s="13">
        <f>VLOOKUP(B198,Table1[[Player]:[FP/G]],7,FALSE)</f>
        <v>1.8980338754558099</v>
      </c>
      <c r="D198" s="14">
        <f>COUNT($C$6:C198)</f>
        <v>193</v>
      </c>
      <c r="E198" s="13">
        <f t="shared" si="2"/>
        <v>-1.2417702118622103</v>
      </c>
    </row>
    <row r="199" spans="2:5" x14ac:dyDescent="0.25">
      <c r="B199" s="1" t="str">
        <v>Logan Stanley</v>
      </c>
      <c r="C199" s="13">
        <f>VLOOKUP(B199,Table1[[Player]:[FP/G]],7,FALSE)</f>
        <v>1.8715859624245399</v>
      </c>
      <c r="D199" s="14">
        <f>COUNT($C$6:C199)</f>
        <v>194</v>
      </c>
      <c r="E199" s="13">
        <f t="shared" ref="E199:E236" si="3">C199-VLOOKUP($C$3,$B$6:$D$187,2,FALSE)</f>
        <v>-1.2682181248934803</v>
      </c>
    </row>
    <row r="200" spans="2:5" x14ac:dyDescent="0.25">
      <c r="B200" s="1" t="str">
        <v>Troy Stecher</v>
      </c>
      <c r="C200" s="13">
        <f>VLOOKUP(B200,Table1[[Player]:[FP/G]],7,FALSE)</f>
        <v>1.8695456439529601</v>
      </c>
      <c r="D200" s="14">
        <f>COUNT($C$6:C200)</f>
        <v>195</v>
      </c>
      <c r="E200" s="13">
        <f t="shared" si="3"/>
        <v>-1.2702584433650601</v>
      </c>
    </row>
    <row r="201" spans="2:5" x14ac:dyDescent="0.25">
      <c r="B201" s="1" t="str">
        <v>Arber Xhekaj</v>
      </c>
      <c r="C201" s="13">
        <f>VLOOKUP(B201,Table1[[Player]:[FP/G]],7,FALSE)</f>
        <v>1.8610638654975</v>
      </c>
      <c r="D201" s="14">
        <f>COUNT($C$6:C201)</f>
        <v>196</v>
      </c>
      <c r="E201" s="13">
        <f t="shared" si="3"/>
        <v>-1.2787402218205202</v>
      </c>
    </row>
    <row r="202" spans="2:5" x14ac:dyDescent="0.25">
      <c r="B202" s="1" t="str">
        <v>Jacob Moverare</v>
      </c>
      <c r="C202" s="13">
        <f>VLOOKUP(B202,Table1[[Player]:[FP/G]],7,FALSE)</f>
        <v>1.8049133302178799</v>
      </c>
      <c r="D202" s="14">
        <f>COUNT($C$6:C202)</f>
        <v>197</v>
      </c>
      <c r="E202" s="13">
        <f t="shared" si="3"/>
        <v>-1.3348907571001403</v>
      </c>
    </row>
    <row r="203" spans="2:5" x14ac:dyDescent="0.25">
      <c r="B203" s="1" t="str">
        <v>Ryan Suter</v>
      </c>
      <c r="C203" s="13">
        <f>VLOOKUP(B203,Table1[[Player]:[FP/G]],7,FALSE)</f>
        <v>1.76946888809027</v>
      </c>
      <c r="D203" s="14">
        <f>COUNT($C$6:C203)</f>
        <v>198</v>
      </c>
      <c r="E203" s="13">
        <f t="shared" si="3"/>
        <v>-1.3703351992277502</v>
      </c>
    </row>
    <row r="204" spans="2:5" x14ac:dyDescent="0.25">
      <c r="B204" s="1" t="str">
        <v>Jacob Bryson</v>
      </c>
      <c r="C204" s="13">
        <f>VLOOKUP(B204,Table1[[Player]:[FP/G]],7,FALSE)</f>
        <v>1.75867656505081</v>
      </c>
      <c r="D204" s="14">
        <f>COUNT($C$6:C204)</f>
        <v>199</v>
      </c>
      <c r="E204" s="13">
        <f t="shared" si="3"/>
        <v>-1.3811275222672101</v>
      </c>
    </row>
    <row r="205" spans="2:5" x14ac:dyDescent="0.25">
      <c r="B205" s="1" t="str">
        <v>Noah Juulsen</v>
      </c>
      <c r="C205" s="13">
        <f>VLOOKUP(B205,Table1[[Player]:[FP/G]],7,FALSE)</f>
        <v>1.7524212766485801</v>
      </c>
      <c r="D205" s="14">
        <f>COUNT($C$6:C205)</f>
        <v>200</v>
      </c>
      <c r="E205" s="13">
        <f t="shared" si="3"/>
        <v>-1.3873828106694401</v>
      </c>
    </row>
    <row r="206" spans="2:5" x14ac:dyDescent="0.25">
      <c r="B206" s="1" t="str">
        <v>Cale Fleury</v>
      </c>
      <c r="C206" s="13">
        <f>VLOOKUP(B206,Table1[[Player]:[FP/G]],7,FALSE)</f>
        <v>1.7204632163204301</v>
      </c>
      <c r="D206" s="14">
        <f>COUNT($C$6:C206)</f>
        <v>201</v>
      </c>
      <c r="E206" s="13">
        <f t="shared" si="3"/>
        <v>-1.4193408709975901</v>
      </c>
    </row>
    <row r="207" spans="2:5" x14ac:dyDescent="0.25">
      <c r="B207" s="1" t="str">
        <v>Alexander Alexeyev</v>
      </c>
      <c r="C207" s="13">
        <f>VLOOKUP(B207,Table1[[Player]:[FP/G]],7,FALSE)</f>
        <v>1.7176067256699701</v>
      </c>
      <c r="D207" s="14">
        <f>COUNT($C$6:C207)</f>
        <v>202</v>
      </c>
      <c r="E207" s="13">
        <f t="shared" si="3"/>
        <v>-1.4221973616480501</v>
      </c>
    </row>
    <row r="208" spans="2:5" x14ac:dyDescent="0.25">
      <c r="B208" s="1" t="str">
        <v>Vladislav Kolyachonok</v>
      </c>
      <c r="C208" s="13">
        <f>VLOOKUP(B208,Table1[[Player]:[FP/G]],7,FALSE)</f>
        <v>1.67979092194304</v>
      </c>
      <c r="D208" s="14">
        <f>COUNT($C$6:C208)</f>
        <v>203</v>
      </c>
      <c r="E208" s="13">
        <f t="shared" si="3"/>
        <v>-1.4600131653749802</v>
      </c>
    </row>
    <row r="209" spans="2:5" x14ac:dyDescent="0.25">
      <c r="B209" s="1" t="str">
        <v>T.J. Brodie</v>
      </c>
      <c r="C209" s="13">
        <f>VLOOKUP(B209,Table1[[Player]:[FP/G]],7,FALSE)</f>
        <v>1.6615450176253399</v>
      </c>
      <c r="D209" s="14">
        <f>COUNT($C$6:C209)</f>
        <v>204</v>
      </c>
      <c r="E209" s="13">
        <f t="shared" si="3"/>
        <v>-1.4782590696926803</v>
      </c>
    </row>
    <row r="210" spans="2:5" x14ac:dyDescent="0.25">
      <c r="B210" s="1" t="str">
        <v>Robert Hagg</v>
      </c>
      <c r="C210" s="13">
        <f>VLOOKUP(B210,Table1[[Player]:[FP/G]],7,FALSE)</f>
        <v>1.63225753678375</v>
      </c>
      <c r="D210" s="14">
        <f>COUNT($C$6:C210)</f>
        <v>205</v>
      </c>
      <c r="E210" s="13">
        <f t="shared" si="3"/>
        <v>-1.5075465505342702</v>
      </c>
    </row>
    <row r="211" spans="2:5" x14ac:dyDescent="0.25">
      <c r="B211" s="1" t="str">
        <v>Dennis Gilbert</v>
      </c>
      <c r="C211" s="13">
        <f>VLOOKUP(B211,Table1[[Player]:[FP/G]],7,FALSE)</f>
        <v>1.6272305571779799</v>
      </c>
      <c r="D211" s="14">
        <f>COUNT($C$6:C211)</f>
        <v>206</v>
      </c>
      <c r="E211" s="13">
        <f t="shared" si="3"/>
        <v>-1.5125735301400403</v>
      </c>
    </row>
    <row r="212" spans="2:5" x14ac:dyDescent="0.25">
      <c r="B212" s="1" t="str">
        <v>Josh Brown</v>
      </c>
      <c r="C212" s="13">
        <f>VLOOKUP(B212,Table1[[Player]:[FP/G]],7,FALSE)</f>
        <v>1.5899583835381099</v>
      </c>
      <c r="D212" s="14">
        <f>COUNT($C$6:C212)</f>
        <v>207</v>
      </c>
      <c r="E212" s="13">
        <f t="shared" si="3"/>
        <v>-1.5498457037799103</v>
      </c>
    </row>
    <row r="213" spans="2:5" x14ac:dyDescent="0.25">
      <c r="B213" s="1" t="str">
        <v>Jon Merrill</v>
      </c>
      <c r="C213" s="13">
        <f>VLOOKUP(B213,Table1[[Player]:[FP/G]],7,FALSE)</f>
        <v>1.5758348406060101</v>
      </c>
      <c r="D213" s="14">
        <f>COUNT($C$6:C213)</f>
        <v>208</v>
      </c>
      <c r="E213" s="13">
        <f t="shared" si="3"/>
        <v>-1.5639692467120101</v>
      </c>
    </row>
    <row r="214" spans="2:5" x14ac:dyDescent="0.25">
      <c r="B214" s="1" t="str">
        <v>Jan Rutta</v>
      </c>
      <c r="C214" s="13">
        <f>VLOOKUP(B214,Table1[[Player]:[FP/G]],7,FALSE)</f>
        <v>1.5622123391335601</v>
      </c>
      <c r="D214" s="14">
        <f>COUNT($C$6:C214)</f>
        <v>209</v>
      </c>
      <c r="E214" s="13">
        <f t="shared" si="3"/>
        <v>-1.5775917481844601</v>
      </c>
    </row>
    <row r="215" spans="2:5" x14ac:dyDescent="0.25">
      <c r="B215" s="1" t="str">
        <v>Spencer Stastney</v>
      </c>
      <c r="C215" s="13">
        <f>VLOOKUP(B215,Table1[[Player]:[FP/G]],7,FALSE)</f>
        <v>1.5501856433841801</v>
      </c>
      <c r="D215" s="14">
        <f>COUNT($C$6:C215)</f>
        <v>210</v>
      </c>
      <c r="E215" s="13">
        <f t="shared" si="3"/>
        <v>-1.5896184439338401</v>
      </c>
    </row>
    <row r="216" spans="2:5" x14ac:dyDescent="0.25">
      <c r="B216" s="1" t="str">
        <v>Jaycob Megna</v>
      </c>
      <c r="C216" s="13">
        <f>VLOOKUP(B216,Table1[[Player]:[FP/G]],7,FALSE)</f>
        <v>1.5297410286770301</v>
      </c>
      <c r="D216" s="14">
        <f>COUNT($C$6:C216)</f>
        <v>211</v>
      </c>
      <c r="E216" s="13">
        <f t="shared" si="3"/>
        <v>-1.6100630586409901</v>
      </c>
    </row>
    <row r="217" spans="2:5" x14ac:dyDescent="0.25">
      <c r="B217" s="1" t="str">
        <v>Philippe Myers</v>
      </c>
      <c r="C217" s="13">
        <f>VLOOKUP(B217,Table1[[Player]:[FP/G]],7,FALSE)</f>
        <v>1.5233232201746101</v>
      </c>
      <c r="D217" s="14">
        <f>COUNT($C$6:C217)</f>
        <v>212</v>
      </c>
      <c r="E217" s="13">
        <f t="shared" si="3"/>
        <v>-1.6164808671434101</v>
      </c>
    </row>
    <row r="218" spans="2:5" x14ac:dyDescent="0.25">
      <c r="B218" s="1" t="str">
        <v>Ben Hutton</v>
      </c>
      <c r="C218" s="13">
        <f>VLOOKUP(B218,Table1[[Player]:[FP/G]],7,FALSE)</f>
        <v>1.51092603665685</v>
      </c>
      <c r="D218" s="14">
        <f>COUNT($C$6:C218)</f>
        <v>213</v>
      </c>
      <c r="E218" s="13">
        <f t="shared" si="3"/>
        <v>-1.6288780506611702</v>
      </c>
    </row>
    <row r="219" spans="2:5" x14ac:dyDescent="0.25">
      <c r="B219" s="1" t="str">
        <v>Isaak Phillips</v>
      </c>
      <c r="C219" s="13">
        <f>VLOOKUP(B219,Table1[[Player]:[FP/G]],7,FALSE)</f>
        <v>1.48591247070365</v>
      </c>
      <c r="D219" s="14">
        <f>COUNT($C$6:C219)</f>
        <v>214</v>
      </c>
      <c r="E219" s="13">
        <f t="shared" si="3"/>
        <v>-1.6538916166143702</v>
      </c>
    </row>
    <row r="220" spans="2:5" x14ac:dyDescent="0.25">
      <c r="B220" s="1" t="str">
        <v>Jake Christiansen</v>
      </c>
      <c r="C220" s="13">
        <f>VLOOKUP(B220,Table1[[Player]:[FP/G]],7,FALSE)</f>
        <v>1.3775409542908299</v>
      </c>
      <c r="D220" s="14">
        <f>COUNT($C$6:C220)</f>
        <v>215</v>
      </c>
      <c r="E220" s="13">
        <f t="shared" si="3"/>
        <v>-1.7622631330271903</v>
      </c>
    </row>
    <row r="221" spans="2:5" x14ac:dyDescent="0.25">
      <c r="B221" s="1" t="str">
        <v>Caleb Jones</v>
      </c>
      <c r="C221" s="13">
        <f>VLOOKUP(B221,Table1[[Player]:[FP/G]],7,FALSE)</f>
        <v>1.34519279276084</v>
      </c>
      <c r="D221" s="14">
        <f>COUNT($C$6:C221)</f>
        <v>216</v>
      </c>
      <c r="E221" s="13">
        <f t="shared" si="3"/>
        <v>-1.7946112945571802</v>
      </c>
    </row>
    <row r="222" spans="2:5" x14ac:dyDescent="0.25">
      <c r="B222" s="1" t="str">
        <v>Marc-Edouard Vlasic</v>
      </c>
      <c r="C222" s="13">
        <f>VLOOKUP(B222,Table1[[Player]:[FP/G]],7,FALSE)</f>
        <v>1.3375612350689901</v>
      </c>
      <c r="D222" s="14">
        <f>COUNT($C$6:C222)</f>
        <v>217</v>
      </c>
      <c r="E222" s="13">
        <f t="shared" si="3"/>
        <v>-1.8022428522490301</v>
      </c>
    </row>
    <row r="223" spans="2:5" x14ac:dyDescent="0.25">
      <c r="B223" s="1" t="str">
        <v>Derek Forbort</v>
      </c>
      <c r="C223" s="13">
        <f>VLOOKUP(B223,Table1[[Player]:[FP/G]],7,FALSE)</f>
        <v>1.3363964768771599</v>
      </c>
      <c r="D223" s="14">
        <f>COUNT($C$6:C223)</f>
        <v>218</v>
      </c>
      <c r="E223" s="13">
        <f t="shared" si="3"/>
        <v>-1.8034076104408603</v>
      </c>
    </row>
    <row r="224" spans="2:5" x14ac:dyDescent="0.25">
      <c r="B224" s="1" t="str">
        <v>Kurtis MacDermid</v>
      </c>
      <c r="C224" s="13">
        <f>VLOOKUP(B224,Table1[[Player]:[FP/G]],7,FALSE)</f>
        <v>1.3240165381678399</v>
      </c>
      <c r="D224" s="14">
        <f>COUNT($C$6:C224)</f>
        <v>219</v>
      </c>
      <c r="E224" s="13">
        <f t="shared" si="3"/>
        <v>-1.8157875491501803</v>
      </c>
    </row>
    <row r="225" spans="2:5" x14ac:dyDescent="0.25">
      <c r="B225" s="1" t="str">
        <v>Adam Ginning</v>
      </c>
      <c r="C225" s="13">
        <f>VLOOKUP(B225,Table1[[Player]:[FP/G]],7,FALSE)</f>
        <v>1.3051699577306199</v>
      </c>
      <c r="D225" s="14">
        <f>COUNT($C$6:C225)</f>
        <v>220</v>
      </c>
      <c r="E225" s="13">
        <f t="shared" si="3"/>
        <v>-1.8346341295874002</v>
      </c>
    </row>
    <row r="226" spans="2:5" x14ac:dyDescent="0.25">
      <c r="B226" s="1" t="str">
        <v>Nick DeSimone</v>
      </c>
      <c r="C226" s="13">
        <f>VLOOKUP(B226,Table1[[Player]:[FP/G]],7,FALSE)</f>
        <v>1.3030203122234401</v>
      </c>
      <c r="D226" s="14">
        <f>COUNT($C$6:C226)</f>
        <v>221</v>
      </c>
      <c r="E226" s="13">
        <f t="shared" si="3"/>
        <v>-1.8367837750945801</v>
      </c>
    </row>
    <row r="227" spans="2:5" x14ac:dyDescent="0.25">
      <c r="B227" s="1" t="str">
        <v>Tobias Bjornfot</v>
      </c>
      <c r="C227" s="13">
        <f>VLOOKUP(B227,Table1[[Player]:[FP/G]],7,FALSE)</f>
        <v>1.2611755257027799</v>
      </c>
      <c r="D227" s="14">
        <f>COUNT($C$6:C227)</f>
        <v>222</v>
      </c>
      <c r="E227" s="13">
        <f t="shared" si="3"/>
        <v>-1.8786285616152403</v>
      </c>
    </row>
    <row r="228" spans="2:5" x14ac:dyDescent="0.25">
      <c r="B228" s="1" t="str">
        <v>Dakota Mermis</v>
      </c>
      <c r="C228" s="13">
        <f>VLOOKUP(B228,Table1[[Player]:[FP/G]],7,FALSE)</f>
        <v>1.23219232899428</v>
      </c>
      <c r="D228" s="14">
        <f>COUNT($C$6:C228)</f>
        <v>223</v>
      </c>
      <c r="E228" s="13">
        <f t="shared" si="3"/>
        <v>-1.9076117583237402</v>
      </c>
    </row>
    <row r="229" spans="2:5" x14ac:dyDescent="0.25">
      <c r="B229" s="1" t="str">
        <v>Dylan Coghlan</v>
      </c>
      <c r="C229" s="13">
        <f>VLOOKUP(B229,Table1[[Player]:[FP/G]],7,FALSE)</f>
        <v>1.23052473632453</v>
      </c>
      <c r="D229" s="14">
        <f>COUNT($C$6:C229)</f>
        <v>224</v>
      </c>
      <c r="E229" s="13">
        <f t="shared" si="3"/>
        <v>-1.9092793509934902</v>
      </c>
    </row>
    <row r="230" spans="2:5" x14ac:dyDescent="0.25">
      <c r="B230" s="1" t="str">
        <v>Jack Johnson</v>
      </c>
      <c r="C230" s="13">
        <f>VLOOKUP(B230,Table1[[Player]:[FP/G]],7,FALSE)</f>
        <v>1.1599023513245099</v>
      </c>
      <c r="D230" s="14">
        <f>COUNT($C$6:C230)</f>
        <v>225</v>
      </c>
      <c r="E230" s="13">
        <f t="shared" si="3"/>
        <v>-1.9799017359935103</v>
      </c>
    </row>
    <row r="231" spans="2:5" x14ac:dyDescent="0.25">
      <c r="B231" s="1" t="str">
        <v>Erik Johnson</v>
      </c>
      <c r="C231" s="13">
        <f>VLOOKUP(B231,Table1[[Player]:[FP/G]],7,FALSE)</f>
        <v>1.1363935910805301</v>
      </c>
      <c r="D231" s="14">
        <f>COUNT($C$6:C231)</f>
        <v>226</v>
      </c>
      <c r="E231" s="13">
        <f t="shared" si="3"/>
        <v>-2.0034104962374899</v>
      </c>
    </row>
    <row r="232" spans="2:5" x14ac:dyDescent="0.25">
      <c r="B232" s="1" t="str">
        <v>Mark Friedman</v>
      </c>
      <c r="C232" s="13">
        <f>VLOOKUP(B232,Table1[[Player]:[FP/G]],7,FALSE)</f>
        <v>1.0914939468296001</v>
      </c>
      <c r="D232" s="14">
        <f>COUNT($C$6:C232)</f>
        <v>227</v>
      </c>
      <c r="E232" s="13">
        <f t="shared" si="3"/>
        <v>-2.0483101404884199</v>
      </c>
    </row>
    <row r="233" spans="2:5" x14ac:dyDescent="0.25">
      <c r="B233" s="1" t="str">
        <v>Dylan McIlrath</v>
      </c>
      <c r="C233" s="13">
        <f>VLOOKUP(B233,Table1[[Player]:[FP/G]],7,FALSE)</f>
        <v>1.04334896355104</v>
      </c>
      <c r="D233" s="14">
        <f>COUNT($C$6:C233)</f>
        <v>228</v>
      </c>
      <c r="E233" s="13">
        <f t="shared" si="3"/>
        <v>-2.0964551237669804</v>
      </c>
    </row>
    <row r="234" spans="2:5" x14ac:dyDescent="0.25">
      <c r="B234" s="1" t="str">
        <v>Brendan Smith</v>
      </c>
      <c r="C234" s="13">
        <f>VLOOKUP(B234,Table1[[Player]:[FP/G]],7,FALSE)</f>
        <v>1.0269212796354601</v>
      </c>
      <c r="D234" s="14">
        <f>COUNT($C$6:C234)</f>
        <v>229</v>
      </c>
      <c r="E234" s="13">
        <f t="shared" si="3"/>
        <v>-2.1128828076825599</v>
      </c>
    </row>
    <row r="235" spans="2:5" x14ac:dyDescent="0.25">
      <c r="B235" s="1" t="str">
        <v>Connor Mackey</v>
      </c>
      <c r="C235" s="13">
        <f>VLOOKUP(B235,Table1[[Player]:[FP/G]],7,FALSE)</f>
        <v>0.95533634747541996</v>
      </c>
      <c r="D235" s="14">
        <f>COUNT($C$6:C235)</f>
        <v>230</v>
      </c>
      <c r="E235" s="13">
        <f t="shared" si="3"/>
        <v>-2.1844677398426002</v>
      </c>
    </row>
    <row r="236" spans="2:5" x14ac:dyDescent="0.25">
      <c r="B236" s="1" t="str">
        <v>Travis Dermott</v>
      </c>
      <c r="C236" s="13">
        <f>VLOOKUP(B236,Table1[[Player]:[FP/G]],7,FALSE)</f>
        <v>0.87435910407130601</v>
      </c>
      <c r="D236" s="14">
        <f>COUNT($C$6:C236)</f>
        <v>231</v>
      </c>
      <c r="E236" s="13">
        <f t="shared" si="3"/>
        <v>-2.2654449832467143</v>
      </c>
    </row>
    <row r="237" spans="2:5" x14ac:dyDescent="0.25">
      <c r="B237" s="1" t="str">
        <v>Robert Bortuzzo</v>
      </c>
      <c r="C237" s="13">
        <f>VLOOKUP(B237,Table1[[Player]:[FP/G]],7,FALSE)</f>
        <v>0.86561645534939002</v>
      </c>
      <c r="D237" s="14">
        <f>COUNT($C$6:C237)</f>
        <v>232</v>
      </c>
      <c r="E237" s="13">
        <f t="shared" ref="E237" si="4">C237-VLOOKUP($C$3,$B$6:$D$187,2,FALSE)</f>
        <v>-2.2741876319686303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1AD1-E229-4AC7-970E-246550409611}">
  <dimension ref="B2:F648"/>
  <sheetViews>
    <sheetView tabSelected="1" workbookViewId="0">
      <selection activeCell="W15" sqref="W15"/>
    </sheetView>
  </sheetViews>
  <sheetFormatPr defaultRowHeight="15" x14ac:dyDescent="0.25"/>
  <cols>
    <col min="1" max="1" width="6.42578125" style="1" customWidth="1"/>
    <col min="2" max="2" width="21.5703125" style="1" bestFit="1" customWidth="1"/>
    <col min="3" max="6" width="14" style="1" customWidth="1"/>
    <col min="7" max="16384" width="9.140625" style="1"/>
  </cols>
  <sheetData>
    <row r="2" spans="2:6" x14ac:dyDescent="0.25">
      <c r="B2" s="15" t="s">
        <v>1647</v>
      </c>
      <c r="C2" s="16" t="s">
        <v>4</v>
      </c>
      <c r="D2" s="16" t="s">
        <v>3</v>
      </c>
      <c r="E2" s="16" t="s">
        <v>1653</v>
      </c>
      <c r="F2" s="16" t="s">
        <v>1652</v>
      </c>
    </row>
    <row r="3" spans="2:6" x14ac:dyDescent="0.25">
      <c r="B3" t="s">
        <v>26</v>
      </c>
      <c r="C3" s="17" t="str">
        <f>VLOOKUP(Table4[[#This Row],[Name]],Table1[[Player]:[Status]],4,FALSE)</f>
        <v>Abby</v>
      </c>
      <c r="D3" s="17" t="str">
        <f>VLOOKUP(Table4[[#This Row],[Name]],Table1[[Player]:[FP/G]],3,FALSE)</f>
        <v>RW</v>
      </c>
      <c r="E3" s="17">
        <f>VLOOKUP(Table4[[#This Row],[Name]],Table1[[Player]:[Age]],5,FALSE)</f>
        <v>32</v>
      </c>
      <c r="F3" s="10">
        <f>MAX(
  _xlfn.IFNA(_xlfn.XLOOKUP(B3,'C'!B:B,'C'!E:E),  -1000000000),
  _xlfn.IFNA(_xlfn.XLOOKUP(B3, LW!B:B, LW!E:E), -1000000000),
  _xlfn.IFNA(_xlfn.XLOOKUP(B3, RW!B:B, RW!E:E), -1000000000),
  _xlfn.IFNA(_xlfn.XLOOKUP(B3, D!B:B,  D!E:E),  -1000000000)
)</f>
        <v>4.4703604833978794</v>
      </c>
    </row>
    <row r="4" spans="2:6" x14ac:dyDescent="0.25">
      <c r="B4" t="s">
        <v>416</v>
      </c>
      <c r="C4" s="17" t="str">
        <f>VLOOKUP(Table4[[#This Row],[Name]],Table1[[Player]:[Status]],4,FALSE)</f>
        <v>Nate</v>
      </c>
      <c r="D4" s="17" t="str">
        <f>VLOOKUP(Table4[[#This Row],[Name]],Table1[[Player]:[FP/G]],3,FALSE)</f>
        <v>D</v>
      </c>
      <c r="E4" s="17">
        <f>VLOOKUP(Table4[[#This Row],[Name]],Table1[[Player]:[Age]],5,FALSE)</f>
        <v>25</v>
      </c>
      <c r="F4" s="10">
        <f>MAX(
  _xlfn.IFNA(_xlfn.XLOOKUP(B4,'C'!B:B,'C'!E:E),  -1000000000),
  _xlfn.IFNA(_xlfn.XLOOKUP(B4, LW!B:B, LW!E:E), -1000000000),
  _xlfn.IFNA(_xlfn.XLOOKUP(B4, RW!B:B, RW!E:E), -1000000000),
  _xlfn.IFNA(_xlfn.XLOOKUP(B4, D!B:B,  D!E:E),  -1000000000)
)</f>
        <v>4.1582913350346695</v>
      </c>
    </row>
    <row r="5" spans="2:6" x14ac:dyDescent="0.25">
      <c r="B5" t="s">
        <v>19</v>
      </c>
      <c r="C5" s="17" t="str">
        <f>VLOOKUP(Table4[[#This Row],[Name]],Table1[[Player]:[Status]],4,FALSE)</f>
        <v>Daniel</v>
      </c>
      <c r="D5" s="17" t="str">
        <f>VLOOKUP(Table4[[#This Row],[Name]],Table1[[Player]:[FP/G]],3,FALSE)</f>
        <v>RW</v>
      </c>
      <c r="E5" s="17">
        <f>VLOOKUP(Table4[[#This Row],[Name]],Table1[[Player]:[Age]],5,FALSE)</f>
        <v>29</v>
      </c>
      <c r="F5" s="10">
        <f>MAX(
  _xlfn.IFNA(_xlfn.XLOOKUP(B5,'C'!B:B,'C'!E:E),  -1000000000),
  _xlfn.IFNA(_xlfn.XLOOKUP(B5, LW!B:B, LW!E:E), -1000000000),
  _xlfn.IFNA(_xlfn.XLOOKUP(B5, RW!B:B, RW!E:E), -1000000000),
  _xlfn.IFNA(_xlfn.XLOOKUP(B5, D!B:B,  D!E:E),  -1000000000)
)</f>
        <v>4.1437489860520209</v>
      </c>
    </row>
    <row r="6" spans="2:6" x14ac:dyDescent="0.25">
      <c r="B6" t="s">
        <v>8</v>
      </c>
      <c r="C6" s="17" t="str">
        <f>VLOOKUP(Table4[[#This Row],[Name]],Table1[[Player]:[Status]],4,FALSE)</f>
        <v>Joel</v>
      </c>
      <c r="D6" s="17" t="str">
        <f>VLOOKUP(Table4[[#This Row],[Name]],Table1[[Player]:[FP/G]],3,FALSE)</f>
        <v>C</v>
      </c>
      <c r="E6" s="17">
        <f>VLOOKUP(Table4[[#This Row],[Name]],Table1[[Player]:[Age]],5,FALSE)</f>
        <v>30</v>
      </c>
      <c r="F6" s="10">
        <f>MAX(
  _xlfn.IFNA(_xlfn.XLOOKUP(B6,'C'!B:B,'C'!E:E),  -1000000000),
  _xlfn.IFNA(_xlfn.XLOOKUP(B6, LW!B:B, LW!E:E), -1000000000),
  _xlfn.IFNA(_xlfn.XLOOKUP(B6, RW!B:B, RW!E:E), -1000000000),
  _xlfn.IFNA(_xlfn.XLOOKUP(B6, D!B:B,  D!E:E),  -1000000000)
)</f>
        <v>3.9371457596040988</v>
      </c>
    </row>
    <row r="7" spans="2:6" x14ac:dyDescent="0.25">
      <c r="B7" t="s">
        <v>61</v>
      </c>
      <c r="C7" s="17" t="str">
        <f>VLOOKUP(Table4[[#This Row],[Name]],Table1[[Player]:[Status]],4,FALSE)</f>
        <v>Murica</v>
      </c>
      <c r="D7" s="17" t="str">
        <f>VLOOKUP(Table4[[#This Row],[Name]],Table1[[Player]:[FP/G]],3,FALSE)</f>
        <v>RW</v>
      </c>
      <c r="E7" s="17">
        <f>VLOOKUP(Table4[[#This Row],[Name]],Table1[[Player]:[Age]],5,FALSE)</f>
        <v>29</v>
      </c>
      <c r="F7" s="10">
        <f>MAX(
  _xlfn.IFNA(_xlfn.XLOOKUP(B7,'C'!B:B,'C'!E:E),  -1000000000),
  _xlfn.IFNA(_xlfn.XLOOKUP(B7, LW!B:B, LW!E:E), -1000000000),
  _xlfn.IFNA(_xlfn.XLOOKUP(B7, RW!B:B, RW!E:E), -1000000000),
  _xlfn.IFNA(_xlfn.XLOOKUP(B7, D!B:B,  D!E:E),  -1000000000)
)</f>
        <v>3.594410335279191</v>
      </c>
    </row>
    <row r="8" spans="2:6" x14ac:dyDescent="0.25">
      <c r="B8" t="s">
        <v>48</v>
      </c>
      <c r="C8" s="17" t="str">
        <f>VLOOKUP(Table4[[#This Row],[Name]],Table1[[Player]:[Status]],4,FALSE)</f>
        <v>Jason</v>
      </c>
      <c r="D8" s="17" t="str">
        <f>VLOOKUP(Table4[[#This Row],[Name]],Table1[[Player]:[FP/G]],3,FALSE)</f>
        <v>C</v>
      </c>
      <c r="E8" s="17">
        <f>VLOOKUP(Table4[[#This Row],[Name]],Table1[[Player]:[Age]],5,FALSE)</f>
        <v>29</v>
      </c>
      <c r="F8" s="10">
        <f>MAX(
  _xlfn.IFNA(_xlfn.XLOOKUP(B8,'C'!B:B,'C'!E:E),  -1000000000),
  _xlfn.IFNA(_xlfn.XLOOKUP(B8, LW!B:B, LW!E:E), -1000000000),
  _xlfn.IFNA(_xlfn.XLOOKUP(B8, RW!B:B, RW!E:E), -1000000000),
  _xlfn.IFNA(_xlfn.XLOOKUP(B8, D!B:B,  D!E:E),  -1000000000)
)</f>
        <v>3.5620912620247696</v>
      </c>
    </row>
    <row r="9" spans="2:6" x14ac:dyDescent="0.25">
      <c r="B9" t="s">
        <v>250</v>
      </c>
      <c r="C9" s="17" t="str">
        <f>VLOOKUP(Table4[[#This Row],[Name]],Table1[[Player]:[Status]],4,FALSE)</f>
        <v>Jason</v>
      </c>
      <c r="D9" s="17" t="str">
        <f>VLOOKUP(Table4[[#This Row],[Name]],Table1[[Player]:[FP/G]],3,FALSE)</f>
        <v>C,LW</v>
      </c>
      <c r="E9" s="17">
        <f>VLOOKUP(Table4[[#This Row],[Name]],Table1[[Player]:[Age]],5,FALSE)</f>
        <v>24</v>
      </c>
      <c r="F9" s="10">
        <f>MAX(
  _xlfn.IFNA(_xlfn.XLOOKUP(B9,'C'!B:B,'C'!E:E),  -1000000000),
  _xlfn.IFNA(_xlfn.XLOOKUP(B9, LW!B:B, LW!E:E), -1000000000),
  _xlfn.IFNA(_xlfn.XLOOKUP(B9, RW!B:B, RW!E:E), -1000000000),
  _xlfn.IFNA(_xlfn.XLOOKUP(B9, D!B:B,  D!E:E),  -1000000000)
)</f>
        <v>3.5619283593238098</v>
      </c>
    </row>
    <row r="10" spans="2:6" x14ac:dyDescent="0.25">
      <c r="B10" t="s">
        <v>23</v>
      </c>
      <c r="C10" s="17" t="str">
        <f>VLOOKUP(Table4[[#This Row],[Name]],Table1[[Player]:[Status]],4,FALSE)</f>
        <v>Joel</v>
      </c>
      <c r="D10" s="17" t="str">
        <f>VLOOKUP(Table4[[#This Row],[Name]],Table1[[Player]:[FP/G]],3,FALSE)</f>
        <v>C</v>
      </c>
      <c r="E10" s="17">
        <f>VLOOKUP(Table4[[#This Row],[Name]],Table1[[Player]:[Age]],5,FALSE)</f>
        <v>28</v>
      </c>
      <c r="F10" s="10">
        <f>MAX(
  _xlfn.IFNA(_xlfn.XLOOKUP(B10,'C'!B:B,'C'!E:E),  -1000000000),
  _xlfn.IFNA(_xlfn.XLOOKUP(B10, LW!B:B, LW!E:E), -1000000000),
  _xlfn.IFNA(_xlfn.XLOOKUP(B10, RW!B:B, RW!E:E), -1000000000),
  _xlfn.IFNA(_xlfn.XLOOKUP(B10, D!B:B,  D!E:E),  -1000000000)
)</f>
        <v>3.4372051773039294</v>
      </c>
    </row>
    <row r="11" spans="2:6" x14ac:dyDescent="0.25">
      <c r="B11" t="s">
        <v>12</v>
      </c>
      <c r="C11" s="17" t="str">
        <f>VLOOKUP(Table4[[#This Row],[Name]],Table1[[Player]:[Status]],4,FALSE)</f>
        <v>Adam</v>
      </c>
      <c r="D11" s="17" t="str">
        <f>VLOOKUP(Table4[[#This Row],[Name]],Table1[[Player]:[FP/G]],3,FALSE)</f>
        <v>C</v>
      </c>
      <c r="E11" s="17">
        <f>VLOOKUP(Table4[[#This Row],[Name]],Table1[[Player]:[Age]],5,FALSE)</f>
        <v>28</v>
      </c>
      <c r="F11" s="10">
        <f>MAX(
  _xlfn.IFNA(_xlfn.XLOOKUP(B11,'C'!B:B,'C'!E:E),  -1000000000),
  _xlfn.IFNA(_xlfn.XLOOKUP(B11, LW!B:B, LW!E:E), -1000000000),
  _xlfn.IFNA(_xlfn.XLOOKUP(B11, RW!B:B, RW!E:E), -1000000000),
  _xlfn.IFNA(_xlfn.XLOOKUP(B11, D!B:B,  D!E:E),  -1000000000)
)</f>
        <v>3.3355173115800296</v>
      </c>
    </row>
    <row r="12" spans="2:6" x14ac:dyDescent="0.25">
      <c r="B12" t="s">
        <v>67</v>
      </c>
      <c r="C12" s="17" t="str">
        <f>VLOOKUP(Table4[[#This Row],[Name]],Table1[[Player]:[Status]],4,FALSE)</f>
        <v>Seth</v>
      </c>
      <c r="D12" s="17" t="str">
        <f>VLOOKUP(Table4[[#This Row],[Name]],Table1[[Player]:[FP/G]],3,FALSE)</f>
        <v>C,LW</v>
      </c>
      <c r="E12" s="17">
        <f>VLOOKUP(Table4[[#This Row],[Name]],Table1[[Player]:[Age]],5,FALSE)</f>
        <v>29</v>
      </c>
      <c r="F12" s="10">
        <f>MAX(
  _xlfn.IFNA(_xlfn.XLOOKUP(B12,'C'!B:B,'C'!E:E),  -1000000000),
  _xlfn.IFNA(_xlfn.XLOOKUP(B12, LW!B:B, LW!E:E), -1000000000),
  _xlfn.IFNA(_xlfn.XLOOKUP(B12, RW!B:B, RW!E:E), -1000000000),
  _xlfn.IFNA(_xlfn.XLOOKUP(B12, D!B:B,  D!E:E),  -1000000000)
)</f>
        <v>3.2235717827142896</v>
      </c>
    </row>
    <row r="13" spans="2:6" x14ac:dyDescent="0.25">
      <c r="B13" t="s">
        <v>205</v>
      </c>
      <c r="C13" s="17" t="str">
        <f>VLOOKUP(Table4[[#This Row],[Name]],Table1[[Player]:[Status]],4,FALSE)</f>
        <v>Joel</v>
      </c>
      <c r="D13" s="17" t="str">
        <f>VLOOKUP(Table4[[#This Row],[Name]],Table1[[Player]:[FP/G]],3,FALSE)</f>
        <v>D</v>
      </c>
      <c r="E13" s="17">
        <f>VLOOKUP(Table4[[#This Row],[Name]],Table1[[Player]:[Age]],5,FALSE)</f>
        <v>26</v>
      </c>
      <c r="F13" s="10">
        <f>MAX(
  _xlfn.IFNA(_xlfn.XLOOKUP(B13,'C'!B:B,'C'!E:E),  -1000000000),
  _xlfn.IFNA(_xlfn.XLOOKUP(B13, LW!B:B, LW!E:E), -1000000000),
  _xlfn.IFNA(_xlfn.XLOOKUP(B13, RW!B:B, RW!E:E), -1000000000),
  _xlfn.IFNA(_xlfn.XLOOKUP(B13, D!B:B,  D!E:E),  -1000000000)
)</f>
        <v>3.1438044755382695</v>
      </c>
    </row>
    <row r="14" spans="2:6" x14ac:dyDescent="0.25">
      <c r="B14" t="s">
        <v>254</v>
      </c>
      <c r="C14" s="17" t="str">
        <f>VLOOKUP(Table4[[#This Row],[Name]],Table1[[Player]:[Status]],4,FALSE)</f>
        <v>Murica</v>
      </c>
      <c r="D14" s="17" t="str">
        <f>VLOOKUP(Table4[[#This Row],[Name]],Table1[[Player]:[FP/G]],3,FALSE)</f>
        <v>D</v>
      </c>
      <c r="E14" s="17">
        <f>VLOOKUP(Table4[[#This Row],[Name]],Table1[[Player]:[Age]],5,FALSE)</f>
        <v>25</v>
      </c>
      <c r="F14" s="10">
        <f>MAX(
  _xlfn.IFNA(_xlfn.XLOOKUP(B14,'C'!B:B,'C'!E:E),  -1000000000),
  _xlfn.IFNA(_xlfn.XLOOKUP(B14, LW!B:B, LW!E:E), -1000000000),
  _xlfn.IFNA(_xlfn.XLOOKUP(B14, RW!B:B, RW!E:E), -1000000000),
  _xlfn.IFNA(_xlfn.XLOOKUP(B14, D!B:B,  D!E:E),  -1000000000)
)</f>
        <v>3.1351962180013402</v>
      </c>
    </row>
    <row r="15" spans="2:6" x14ac:dyDescent="0.25">
      <c r="B15" t="s">
        <v>286</v>
      </c>
      <c r="C15" s="17" t="str">
        <f>VLOOKUP(Table4[[#This Row],[Name]],Table1[[Player]:[Status]],4,FALSE)</f>
        <v>Shannon</v>
      </c>
      <c r="D15" s="17" t="str">
        <f>VLOOKUP(Table4[[#This Row],[Name]],Table1[[Player]:[FP/G]],3,FALSE)</f>
        <v>D</v>
      </c>
      <c r="E15" s="17">
        <f>VLOOKUP(Table4[[#This Row],[Name]],Table1[[Player]:[Age]],5,FALSE)</f>
        <v>28</v>
      </c>
      <c r="F15" s="10">
        <f>MAX(
  _xlfn.IFNA(_xlfn.XLOOKUP(B15,'C'!B:B,'C'!E:E),  -1000000000),
  _xlfn.IFNA(_xlfn.XLOOKUP(B15, LW!B:B, LW!E:E), -1000000000),
  _xlfn.IFNA(_xlfn.XLOOKUP(B15, RW!B:B, RW!E:E), -1000000000),
  _xlfn.IFNA(_xlfn.XLOOKUP(B15, D!B:B,  D!E:E),  -1000000000)
)</f>
        <v>3.0972523829384997</v>
      </c>
    </row>
    <row r="16" spans="2:6" x14ac:dyDescent="0.25">
      <c r="B16" t="s">
        <v>111</v>
      </c>
      <c r="C16" s="17" t="str">
        <f>VLOOKUP(Table4[[#This Row],[Name]],Table1[[Player]:[Status]],4,FALSE)</f>
        <v>Nate</v>
      </c>
      <c r="D16" s="17" t="str">
        <f>VLOOKUP(Table4[[#This Row],[Name]],Table1[[Player]:[FP/G]],3,FALSE)</f>
        <v>LW</v>
      </c>
      <c r="E16" s="17">
        <f>VLOOKUP(Table4[[#This Row],[Name]],Table1[[Player]:[Age]],5,FALSE)</f>
        <v>26</v>
      </c>
      <c r="F16" s="10">
        <f>MAX(
  _xlfn.IFNA(_xlfn.XLOOKUP(B16,'C'!B:B,'C'!E:E),  -1000000000),
  _xlfn.IFNA(_xlfn.XLOOKUP(B16, LW!B:B, LW!E:E), -1000000000),
  _xlfn.IFNA(_xlfn.XLOOKUP(B16, RW!B:B, RW!E:E), -1000000000),
  _xlfn.IFNA(_xlfn.XLOOKUP(B16, D!B:B,  D!E:E),  -1000000000)
)</f>
        <v>2.9429359220194105</v>
      </c>
    </row>
    <row r="17" spans="2:6" x14ac:dyDescent="0.25">
      <c r="B17" t="s">
        <v>288</v>
      </c>
      <c r="C17" s="17" t="str">
        <f>VLOOKUP(Table4[[#This Row],[Name]],Table1[[Player]:[Status]],4,FALSE)</f>
        <v>Logan</v>
      </c>
      <c r="D17" s="17" t="str">
        <f>VLOOKUP(Table4[[#This Row],[Name]],Table1[[Player]:[FP/G]],3,FALSE)</f>
        <v>D</v>
      </c>
      <c r="E17" s="17">
        <f>VLOOKUP(Table4[[#This Row],[Name]],Table1[[Player]:[Age]],5,FALSE)</f>
        <v>25</v>
      </c>
      <c r="F17" s="10">
        <f>MAX(
  _xlfn.IFNA(_xlfn.XLOOKUP(B17,'C'!B:B,'C'!E:E),  -1000000000),
  _xlfn.IFNA(_xlfn.XLOOKUP(B17, LW!B:B, LW!E:E), -1000000000),
  _xlfn.IFNA(_xlfn.XLOOKUP(B17, RW!B:B, RW!E:E), -1000000000),
  _xlfn.IFNA(_xlfn.XLOOKUP(B17, D!B:B,  D!E:E),  -1000000000)
)</f>
        <v>2.9014858221169195</v>
      </c>
    </row>
    <row r="18" spans="2:6" x14ac:dyDescent="0.25">
      <c r="B18" t="s">
        <v>57</v>
      </c>
      <c r="C18" s="17" t="str">
        <f>VLOOKUP(Table4[[#This Row],[Name]],Table1[[Player]:[Status]],4,FALSE)</f>
        <v>Logan</v>
      </c>
      <c r="D18" s="17" t="str">
        <f>VLOOKUP(Table4[[#This Row],[Name]],Table1[[Player]:[FP/G]],3,FALSE)</f>
        <v>LW</v>
      </c>
      <c r="E18" s="17">
        <f>VLOOKUP(Table4[[#This Row],[Name]],Table1[[Player]:[Age]],5,FALSE)</f>
        <v>31</v>
      </c>
      <c r="F18" s="10">
        <f>MAX(
  _xlfn.IFNA(_xlfn.XLOOKUP(B18,'C'!B:B,'C'!E:E),  -1000000000),
  _xlfn.IFNA(_xlfn.XLOOKUP(B18, LW!B:B, LW!E:E), -1000000000),
  _xlfn.IFNA(_xlfn.XLOOKUP(B18, RW!B:B, RW!E:E), -1000000000),
  _xlfn.IFNA(_xlfn.XLOOKUP(B18, D!B:B,  D!E:E),  -1000000000)
)</f>
        <v>2.7843142087814501</v>
      </c>
    </row>
    <row r="19" spans="2:6" x14ac:dyDescent="0.25">
      <c r="B19" t="s">
        <v>39</v>
      </c>
      <c r="C19" s="17" t="str">
        <f>VLOOKUP(Table4[[#This Row],[Name]],Table1[[Player]:[Status]],4,FALSE)</f>
        <v>Logan</v>
      </c>
      <c r="D19" s="17" t="str">
        <f>VLOOKUP(Table4[[#This Row],[Name]],Table1[[Player]:[FP/G]],3,FALSE)</f>
        <v>LW,RW</v>
      </c>
      <c r="E19" s="17">
        <f>VLOOKUP(Table4[[#This Row],[Name]],Table1[[Player]:[Age]],5,FALSE)</f>
        <v>40</v>
      </c>
      <c r="F19" s="10">
        <f>MAX(
  _xlfn.IFNA(_xlfn.XLOOKUP(B19,'C'!B:B,'C'!E:E),  -1000000000),
  _xlfn.IFNA(_xlfn.XLOOKUP(B19, LW!B:B, LW!E:E), -1000000000),
  _xlfn.IFNA(_xlfn.XLOOKUP(B19, RW!B:B, RW!E:E), -1000000000),
  _xlfn.IFNA(_xlfn.XLOOKUP(B19, D!B:B,  D!E:E),  -1000000000)
)</f>
        <v>2.7361783216584001</v>
      </c>
    </row>
    <row r="20" spans="2:6" x14ac:dyDescent="0.25">
      <c r="B20" t="s">
        <v>278</v>
      </c>
      <c r="C20" s="17" t="str">
        <f>VLOOKUP(Table4[[#This Row],[Name]],Table1[[Player]:[Status]],4,FALSE)</f>
        <v>Logan</v>
      </c>
      <c r="D20" s="17" t="str">
        <f>VLOOKUP(Table4[[#This Row],[Name]],Table1[[Player]:[FP/G]],3,FALSE)</f>
        <v>LW,RW</v>
      </c>
      <c r="E20" s="17">
        <f>VLOOKUP(Table4[[#This Row],[Name]],Table1[[Player]:[Age]],5,FALSE)</f>
        <v>24</v>
      </c>
      <c r="F20" s="10">
        <f>MAX(
  _xlfn.IFNA(_xlfn.XLOOKUP(B20,'C'!B:B,'C'!E:E),  -1000000000),
  _xlfn.IFNA(_xlfn.XLOOKUP(B20, LW!B:B, LW!E:E), -1000000000),
  _xlfn.IFNA(_xlfn.XLOOKUP(B20, RW!B:B, RW!E:E), -1000000000),
  _xlfn.IFNA(_xlfn.XLOOKUP(B20, D!B:B,  D!E:E),  -1000000000)
)</f>
        <v>2.7075967283041003</v>
      </c>
    </row>
    <row r="21" spans="2:6" x14ac:dyDescent="0.25">
      <c r="B21" t="s">
        <v>55</v>
      </c>
      <c r="C21" s="17" t="str">
        <f>VLOOKUP(Table4[[#This Row],[Name]],Table1[[Player]:[Status]],4,FALSE)</f>
        <v>Chris</v>
      </c>
      <c r="D21" s="17" t="str">
        <f>VLOOKUP(Table4[[#This Row],[Name]],Table1[[Player]:[FP/G]],3,FALSE)</f>
        <v>LW</v>
      </c>
      <c r="E21" s="17">
        <f>VLOOKUP(Table4[[#This Row],[Name]],Table1[[Player]:[Age]],5,FALSE)</f>
        <v>28</v>
      </c>
      <c r="F21" s="10">
        <f>MAX(
  _xlfn.IFNA(_xlfn.XLOOKUP(B21,'C'!B:B,'C'!E:E),  -1000000000),
  _xlfn.IFNA(_xlfn.XLOOKUP(B21, LW!B:B, LW!E:E), -1000000000),
  _xlfn.IFNA(_xlfn.XLOOKUP(B21, RW!B:B, RW!E:E), -1000000000),
  _xlfn.IFNA(_xlfn.XLOOKUP(B21, D!B:B,  D!E:E),  -1000000000)
)</f>
        <v>2.6958204689118705</v>
      </c>
    </row>
    <row r="22" spans="2:6" x14ac:dyDescent="0.25">
      <c r="B22" t="s">
        <v>116</v>
      </c>
      <c r="C22" s="17" t="str">
        <f>VLOOKUP(Table4[[#This Row],[Name]],Table1[[Player]:[Status]],4,FALSE)</f>
        <v>Chris</v>
      </c>
      <c r="D22" s="17" t="str">
        <f>VLOOKUP(Table4[[#This Row],[Name]],Table1[[Player]:[FP/G]],3,FALSE)</f>
        <v>C</v>
      </c>
      <c r="E22" s="17">
        <f>VLOOKUP(Table4[[#This Row],[Name]],Table1[[Player]:[Age]],5,FALSE)</f>
        <v>28</v>
      </c>
      <c r="F22" s="10">
        <f>MAX(
  _xlfn.IFNA(_xlfn.XLOOKUP(B22,'C'!B:B,'C'!E:E),  -1000000000),
  _xlfn.IFNA(_xlfn.XLOOKUP(B22, LW!B:B, LW!E:E), -1000000000),
  _xlfn.IFNA(_xlfn.XLOOKUP(B22, RW!B:B, RW!E:E), -1000000000),
  _xlfn.IFNA(_xlfn.XLOOKUP(B22, D!B:B,  D!E:E),  -1000000000)
)</f>
        <v>2.6892787966917098</v>
      </c>
    </row>
    <row r="23" spans="2:6" x14ac:dyDescent="0.25">
      <c r="B23" t="s">
        <v>80</v>
      </c>
      <c r="C23" s="17" t="str">
        <f>VLOOKUP(Table4[[#This Row],[Name]],Table1[[Player]:[Status]],4,FALSE)</f>
        <v>Daniel</v>
      </c>
      <c r="D23" s="17" t="str">
        <f>VLOOKUP(Table4[[#This Row],[Name]],Table1[[Player]:[FP/G]],3,FALSE)</f>
        <v>LW</v>
      </c>
      <c r="E23" s="17">
        <f>VLOOKUP(Table4[[#This Row],[Name]],Table1[[Player]:[Age]],5,FALSE)</f>
        <v>26</v>
      </c>
      <c r="F23" s="10">
        <f>MAX(
  _xlfn.IFNA(_xlfn.XLOOKUP(B23,'C'!B:B,'C'!E:E),  -1000000000),
  _xlfn.IFNA(_xlfn.XLOOKUP(B23, LW!B:B, LW!E:E), -1000000000),
  _xlfn.IFNA(_xlfn.XLOOKUP(B23, RW!B:B, RW!E:E), -1000000000),
  _xlfn.IFNA(_xlfn.XLOOKUP(B23, D!B:B,  D!E:E),  -1000000000)
)</f>
        <v>2.5707711253478598</v>
      </c>
    </row>
    <row r="24" spans="2:6" x14ac:dyDescent="0.25">
      <c r="B24" t="s">
        <v>209</v>
      </c>
      <c r="C24" s="17" t="str">
        <f>VLOOKUP(Table4[[#This Row],[Name]],Table1[[Player]:[Status]],4,FALSE)</f>
        <v>Joel</v>
      </c>
      <c r="D24" s="17" t="str">
        <f>VLOOKUP(Table4[[#This Row],[Name]],Table1[[Player]:[FP/G]],3,FALSE)</f>
        <v>D</v>
      </c>
      <c r="E24" s="17">
        <f>VLOOKUP(Table4[[#This Row],[Name]],Table1[[Player]:[Age]],5,FALSE)</f>
        <v>30</v>
      </c>
      <c r="F24" s="10">
        <f>MAX(
  _xlfn.IFNA(_xlfn.XLOOKUP(B24,'C'!B:B,'C'!E:E),  -1000000000),
  _xlfn.IFNA(_xlfn.XLOOKUP(B24, LW!B:B, LW!E:E), -1000000000),
  _xlfn.IFNA(_xlfn.XLOOKUP(B24, RW!B:B, RW!E:E), -1000000000),
  _xlfn.IFNA(_xlfn.XLOOKUP(B24, D!B:B,  D!E:E),  -1000000000)
)</f>
        <v>2.5593991482781995</v>
      </c>
    </row>
    <row r="25" spans="2:6" x14ac:dyDescent="0.25">
      <c r="B25" t="s">
        <v>235</v>
      </c>
      <c r="C25" s="17" t="str">
        <f>VLOOKUP(Table4[[#This Row],[Name]],Table1[[Player]:[Status]],4,FALSE)</f>
        <v>Abby</v>
      </c>
      <c r="D25" s="17" t="str">
        <f>VLOOKUP(Table4[[#This Row],[Name]],Table1[[Player]:[FP/G]],3,FALSE)</f>
        <v>C</v>
      </c>
      <c r="E25" s="17">
        <f>VLOOKUP(Table4[[#This Row],[Name]],Table1[[Player]:[Age]],5,FALSE)</f>
        <v>26</v>
      </c>
      <c r="F25" s="10">
        <f>MAX(
  _xlfn.IFNA(_xlfn.XLOOKUP(B25,'C'!B:B,'C'!E:E),  -1000000000),
  _xlfn.IFNA(_xlfn.XLOOKUP(B25, LW!B:B, LW!E:E), -1000000000),
  _xlfn.IFNA(_xlfn.XLOOKUP(B25, RW!B:B, RW!E:E), -1000000000),
  _xlfn.IFNA(_xlfn.XLOOKUP(B25, D!B:B,  D!E:E),  -1000000000)
)</f>
        <v>2.4445250138630996</v>
      </c>
    </row>
    <row r="26" spans="2:6" x14ac:dyDescent="0.25">
      <c r="B26" t="s">
        <v>86</v>
      </c>
      <c r="C26" s="17" t="str">
        <f>VLOOKUP(Table4[[#This Row],[Name]],Table1[[Player]:[Status]],4,FALSE)</f>
        <v>Abby</v>
      </c>
      <c r="D26" s="17" t="str">
        <f>VLOOKUP(Table4[[#This Row],[Name]],Table1[[Player]:[FP/G]],3,FALSE)</f>
        <v>C</v>
      </c>
      <c r="E26" s="17">
        <f>VLOOKUP(Table4[[#This Row],[Name]],Table1[[Player]:[Age]],5,FALSE)</f>
        <v>29</v>
      </c>
      <c r="F26" s="10">
        <f>MAX(
  _xlfn.IFNA(_xlfn.XLOOKUP(B26,'C'!B:B,'C'!E:E),  -1000000000),
  _xlfn.IFNA(_xlfn.XLOOKUP(B26, LW!B:B, LW!E:E), -1000000000),
  _xlfn.IFNA(_xlfn.XLOOKUP(B26, RW!B:B, RW!E:E), -1000000000),
  _xlfn.IFNA(_xlfn.XLOOKUP(B26, D!B:B,  D!E:E),  -1000000000)
)</f>
        <v>2.4401304441309701</v>
      </c>
    </row>
    <row r="27" spans="2:6" x14ac:dyDescent="0.25">
      <c r="B27" t="s">
        <v>155</v>
      </c>
      <c r="C27" s="17" t="str">
        <f>VLOOKUP(Table4[[#This Row],[Name]],Table1[[Player]:[Status]],4,FALSE)</f>
        <v>Adam</v>
      </c>
      <c r="D27" s="17" t="str">
        <f>VLOOKUP(Table4[[#This Row],[Name]],Table1[[Player]:[FP/G]],3,FALSE)</f>
        <v>C</v>
      </c>
      <c r="E27" s="17">
        <f>VLOOKUP(Table4[[#This Row],[Name]],Table1[[Player]:[Age]],5,FALSE)</f>
        <v>32</v>
      </c>
      <c r="F27" s="10">
        <f>MAX(
  _xlfn.IFNA(_xlfn.XLOOKUP(B27,'C'!B:B,'C'!E:E),  -1000000000),
  _xlfn.IFNA(_xlfn.XLOOKUP(B27, LW!B:B, LW!E:E), -1000000000),
  _xlfn.IFNA(_xlfn.XLOOKUP(B27, RW!B:B, RW!E:E), -1000000000),
  _xlfn.IFNA(_xlfn.XLOOKUP(B27, D!B:B,  D!E:E),  -1000000000)
)</f>
        <v>2.41569980762148</v>
      </c>
    </row>
    <row r="28" spans="2:6" x14ac:dyDescent="0.25">
      <c r="B28" t="s">
        <v>95</v>
      </c>
      <c r="C28" s="17" t="str">
        <f>VLOOKUP(Table4[[#This Row],[Name]],Table1[[Player]:[Status]],4,FALSE)</f>
        <v>Adam</v>
      </c>
      <c r="D28" s="17" t="str">
        <f>VLOOKUP(Table4[[#This Row],[Name]],Table1[[Player]:[FP/G]],3,FALSE)</f>
        <v>C</v>
      </c>
      <c r="E28" s="17">
        <f>VLOOKUP(Table4[[#This Row],[Name]],Table1[[Player]:[Age]],5,FALSE)</f>
        <v>34</v>
      </c>
      <c r="F28" s="10">
        <f>MAX(
  _xlfn.IFNA(_xlfn.XLOOKUP(B28,'C'!B:B,'C'!E:E),  -1000000000),
  _xlfn.IFNA(_xlfn.XLOOKUP(B28, LW!B:B, LW!E:E), -1000000000),
  _xlfn.IFNA(_xlfn.XLOOKUP(B28, RW!B:B, RW!E:E), -1000000000),
  _xlfn.IFNA(_xlfn.XLOOKUP(B28, D!B:B,  D!E:E),  -1000000000)
)</f>
        <v>2.40301240359135</v>
      </c>
    </row>
    <row r="29" spans="2:6" x14ac:dyDescent="0.25">
      <c r="B29" t="s">
        <v>418</v>
      </c>
      <c r="C29" s="17" t="str">
        <f>VLOOKUP(Table4[[#This Row],[Name]],Table1[[Player]:[Status]],4,FALSE)</f>
        <v>Jason</v>
      </c>
      <c r="D29" s="17" t="str">
        <f>VLOOKUP(Table4[[#This Row],[Name]],Table1[[Player]:[FP/G]],3,FALSE)</f>
        <v>D</v>
      </c>
      <c r="E29" s="17">
        <f>VLOOKUP(Table4[[#This Row],[Name]],Table1[[Player]:[Age]],5,FALSE)</f>
        <v>27</v>
      </c>
      <c r="F29" s="10">
        <f>MAX(
  _xlfn.IFNA(_xlfn.XLOOKUP(B29,'C'!B:B,'C'!E:E),  -1000000000),
  _xlfn.IFNA(_xlfn.XLOOKUP(B29, LW!B:B, LW!E:E), -1000000000),
  _xlfn.IFNA(_xlfn.XLOOKUP(B29, RW!B:B, RW!E:E), -1000000000),
  _xlfn.IFNA(_xlfn.XLOOKUP(B29, D!B:B,  D!E:E),  -1000000000)
)</f>
        <v>2.3483893436841896</v>
      </c>
    </row>
    <row r="30" spans="2:6" x14ac:dyDescent="0.25">
      <c r="B30" t="s">
        <v>147</v>
      </c>
      <c r="C30" s="17" t="str">
        <f>VLOOKUP(Table4[[#This Row],[Name]],Table1[[Player]:[Status]],4,FALSE)</f>
        <v>Murica</v>
      </c>
      <c r="D30" s="17" t="str">
        <f>VLOOKUP(Table4[[#This Row],[Name]],Table1[[Player]:[FP/G]],3,FALSE)</f>
        <v>C</v>
      </c>
      <c r="E30" s="17">
        <f>VLOOKUP(Table4[[#This Row],[Name]],Table1[[Player]:[Age]],5,FALSE)</f>
        <v>30</v>
      </c>
      <c r="F30" s="10">
        <f>MAX(
  _xlfn.IFNA(_xlfn.XLOOKUP(B30,'C'!B:B,'C'!E:E),  -1000000000),
  _xlfn.IFNA(_xlfn.XLOOKUP(B30, LW!B:B, LW!E:E), -1000000000),
  _xlfn.IFNA(_xlfn.XLOOKUP(B30, RW!B:B, RW!E:E), -1000000000),
  _xlfn.IFNA(_xlfn.XLOOKUP(B30, D!B:B,  D!E:E),  -1000000000)
)</f>
        <v>2.3450940010867996</v>
      </c>
    </row>
    <row r="31" spans="2:6" x14ac:dyDescent="0.25">
      <c r="B31" t="s">
        <v>29</v>
      </c>
      <c r="C31" s="17" t="str">
        <f>VLOOKUP(Table4[[#This Row],[Name]],Table1[[Player]:[Status]],4,FALSE)</f>
        <v>Adam</v>
      </c>
      <c r="D31" s="17" t="str">
        <f>VLOOKUP(Table4[[#This Row],[Name]],Table1[[Player]:[FP/G]],3,FALSE)</f>
        <v>RW</v>
      </c>
      <c r="E31" s="17">
        <f>VLOOKUP(Table4[[#This Row],[Name]],Table1[[Player]:[Age]],5,FALSE)</f>
        <v>28</v>
      </c>
      <c r="F31" s="10">
        <f>MAX(
  _xlfn.IFNA(_xlfn.XLOOKUP(B31,'C'!B:B,'C'!E:E),  -1000000000),
  _xlfn.IFNA(_xlfn.XLOOKUP(B31, LW!B:B, LW!E:E), -1000000000),
  _xlfn.IFNA(_xlfn.XLOOKUP(B31, RW!B:B, RW!E:E), -1000000000),
  _xlfn.IFNA(_xlfn.XLOOKUP(B31, D!B:B,  D!E:E),  -1000000000)
)</f>
        <v>2.3361115482372705</v>
      </c>
    </row>
    <row r="32" spans="2:6" x14ac:dyDescent="0.25">
      <c r="B32" t="s">
        <v>138</v>
      </c>
      <c r="C32" s="17" t="str">
        <f>VLOOKUP(Table4[[#This Row],[Name]],Table1[[Player]:[Status]],4,FALSE)</f>
        <v>Logan</v>
      </c>
      <c r="D32" s="17" t="str">
        <f>VLOOKUP(Table4[[#This Row],[Name]],Table1[[Player]:[FP/G]],3,FALSE)</f>
        <v>C,RW</v>
      </c>
      <c r="E32" s="17">
        <f>VLOOKUP(Table4[[#This Row],[Name]],Table1[[Player]:[Age]],5,FALSE)</f>
        <v>27</v>
      </c>
      <c r="F32" s="10">
        <f>MAX(
  _xlfn.IFNA(_xlfn.XLOOKUP(B32,'C'!B:B,'C'!E:E),  -1000000000),
  _xlfn.IFNA(_xlfn.XLOOKUP(B32, LW!B:B, LW!E:E), -1000000000),
  _xlfn.IFNA(_xlfn.XLOOKUP(B32, RW!B:B, RW!E:E), -1000000000),
  _xlfn.IFNA(_xlfn.XLOOKUP(B32, D!B:B,  D!E:E),  -1000000000)
)</f>
        <v>2.3116975012099594</v>
      </c>
    </row>
    <row r="33" spans="2:6" x14ac:dyDescent="0.25">
      <c r="B33" t="s">
        <v>169</v>
      </c>
      <c r="C33" s="17" t="str">
        <f>VLOOKUP(Table4[[#This Row],[Name]],Table1[[Player]:[Status]],4,FALSE)</f>
        <v>Logan</v>
      </c>
      <c r="D33" s="17" t="str">
        <f>VLOOKUP(Table4[[#This Row],[Name]],Table1[[Player]:[FP/G]],3,FALSE)</f>
        <v>C</v>
      </c>
      <c r="E33" s="17">
        <f>VLOOKUP(Table4[[#This Row],[Name]],Table1[[Player]:[Age]],5,FALSE)</f>
        <v>28</v>
      </c>
      <c r="F33" s="10">
        <f>MAX(
  _xlfn.IFNA(_xlfn.XLOOKUP(B33,'C'!B:B,'C'!E:E),  -1000000000),
  _xlfn.IFNA(_xlfn.XLOOKUP(B33, LW!B:B, LW!E:E), -1000000000),
  _xlfn.IFNA(_xlfn.XLOOKUP(B33, RW!B:B, RW!E:E), -1000000000),
  _xlfn.IFNA(_xlfn.XLOOKUP(B33, D!B:B,  D!E:E),  -1000000000)
)</f>
        <v>2.2823499961323099</v>
      </c>
    </row>
    <row r="34" spans="2:6" x14ac:dyDescent="0.25">
      <c r="B34" t="s">
        <v>258</v>
      </c>
      <c r="C34" s="17" t="str">
        <f>VLOOKUP(Table4[[#This Row],[Name]],Table1[[Player]:[Status]],4,FALSE)</f>
        <v>Abby</v>
      </c>
      <c r="D34" s="17" t="str">
        <f>VLOOKUP(Table4[[#This Row],[Name]],Table1[[Player]:[FP/G]],3,FALSE)</f>
        <v>C</v>
      </c>
      <c r="E34" s="17">
        <f>VLOOKUP(Table4[[#This Row],[Name]],Table1[[Player]:[Age]],5,FALSE)</f>
        <v>26</v>
      </c>
      <c r="F34" s="10">
        <f>MAX(
  _xlfn.IFNA(_xlfn.XLOOKUP(B34,'C'!B:B,'C'!E:E),  -1000000000),
  _xlfn.IFNA(_xlfn.XLOOKUP(B34, LW!B:B, LW!E:E), -1000000000),
  _xlfn.IFNA(_xlfn.XLOOKUP(B34, RW!B:B, RW!E:E), -1000000000),
  _xlfn.IFNA(_xlfn.XLOOKUP(B34, D!B:B,  D!E:E),  -1000000000)
)</f>
        <v>2.2726072342371797</v>
      </c>
    </row>
    <row r="35" spans="2:6" x14ac:dyDescent="0.25">
      <c r="B35" t="s">
        <v>185</v>
      </c>
      <c r="C35" s="17" t="str">
        <f>VLOOKUP(Table4[[#This Row],[Name]],Table1[[Player]:[Status]],4,FALSE)</f>
        <v>Murica</v>
      </c>
      <c r="D35" s="17" t="str">
        <f>VLOOKUP(Table4[[#This Row],[Name]],Table1[[Player]:[FP/G]],3,FALSE)</f>
        <v>RW</v>
      </c>
      <c r="E35" s="17">
        <f>VLOOKUP(Table4[[#This Row],[Name]],Table1[[Player]:[Age]],5,FALSE)</f>
        <v>27</v>
      </c>
      <c r="F35" s="10">
        <f>MAX(
  _xlfn.IFNA(_xlfn.XLOOKUP(B35,'C'!B:B,'C'!E:E),  -1000000000),
  _xlfn.IFNA(_xlfn.XLOOKUP(B35, LW!B:B, LW!E:E), -1000000000),
  _xlfn.IFNA(_xlfn.XLOOKUP(B35, RW!B:B, RW!E:E), -1000000000),
  _xlfn.IFNA(_xlfn.XLOOKUP(B35, D!B:B,  D!E:E),  -1000000000)
)</f>
        <v>2.2655178559440898</v>
      </c>
    </row>
    <row r="36" spans="2:6" x14ac:dyDescent="0.25">
      <c r="B36" t="s">
        <v>91</v>
      </c>
      <c r="C36" s="17" t="str">
        <f>VLOOKUP(Table4[[#This Row],[Name]],Table1[[Player]:[Status]],4,FALSE)</f>
        <v>Shannon</v>
      </c>
      <c r="D36" s="17" t="str">
        <f>VLOOKUP(Table4[[#This Row],[Name]],Table1[[Player]:[FP/G]],3,FALSE)</f>
        <v>RW</v>
      </c>
      <c r="E36" s="17">
        <f>VLOOKUP(Table4[[#This Row],[Name]],Table1[[Player]:[Age]],5,FALSE)</f>
        <v>28</v>
      </c>
      <c r="F36" s="10">
        <f>MAX(
  _xlfn.IFNA(_xlfn.XLOOKUP(B36,'C'!B:B,'C'!E:E),  -1000000000),
  _xlfn.IFNA(_xlfn.XLOOKUP(B36, LW!B:B, LW!E:E), -1000000000),
  _xlfn.IFNA(_xlfn.XLOOKUP(B36, RW!B:B, RW!E:E), -1000000000),
  _xlfn.IFNA(_xlfn.XLOOKUP(B36, D!B:B,  D!E:E),  -1000000000)
)</f>
        <v>2.2527810667658201</v>
      </c>
    </row>
    <row r="37" spans="2:6" x14ac:dyDescent="0.25">
      <c r="B37" t="s">
        <v>98</v>
      </c>
      <c r="C37" s="17" t="str">
        <f>VLOOKUP(Table4[[#This Row],[Name]],Table1[[Player]:[Status]],4,FALSE)</f>
        <v>Logan</v>
      </c>
      <c r="D37" s="17" t="str">
        <f>VLOOKUP(Table4[[#This Row],[Name]],Table1[[Player]:[FP/G]],3,FALSE)</f>
        <v>RW</v>
      </c>
      <c r="E37" s="17">
        <f>VLOOKUP(Table4[[#This Row],[Name]],Table1[[Player]:[Age]],5,FALSE)</f>
        <v>29</v>
      </c>
      <c r="F37" s="10">
        <f>MAX(
  _xlfn.IFNA(_xlfn.XLOOKUP(B37,'C'!B:B,'C'!E:E),  -1000000000),
  _xlfn.IFNA(_xlfn.XLOOKUP(B37, LW!B:B, LW!E:E), -1000000000),
  _xlfn.IFNA(_xlfn.XLOOKUP(B37, RW!B:B, RW!E:E), -1000000000),
  _xlfn.IFNA(_xlfn.XLOOKUP(B37, D!B:B,  D!E:E),  -1000000000)
)</f>
        <v>2.2465555092778304</v>
      </c>
    </row>
    <row r="38" spans="2:6" x14ac:dyDescent="0.25">
      <c r="B38" t="s">
        <v>298</v>
      </c>
      <c r="C38" s="17" t="str">
        <f>VLOOKUP(Table4[[#This Row],[Name]],Table1[[Player]:[Status]],4,FALSE)</f>
        <v>Shannon</v>
      </c>
      <c r="D38" s="17" t="str">
        <f>VLOOKUP(Table4[[#This Row],[Name]],Table1[[Player]:[FP/G]],3,FALSE)</f>
        <v>C</v>
      </c>
      <c r="E38" s="17">
        <f>VLOOKUP(Table4[[#This Row],[Name]],Table1[[Player]:[Age]],5,FALSE)</f>
        <v>28</v>
      </c>
      <c r="F38" s="10">
        <f>MAX(
  _xlfn.IFNA(_xlfn.XLOOKUP(B38,'C'!B:B,'C'!E:E),  -1000000000),
  _xlfn.IFNA(_xlfn.XLOOKUP(B38, LW!B:B, LW!E:E), -1000000000),
  _xlfn.IFNA(_xlfn.XLOOKUP(B38, RW!B:B, RW!E:E), -1000000000),
  _xlfn.IFNA(_xlfn.XLOOKUP(B38, D!B:B,  D!E:E),  -1000000000)
)</f>
        <v>2.2327266513370594</v>
      </c>
    </row>
    <row r="39" spans="2:6" x14ac:dyDescent="0.25">
      <c r="B39" t="s">
        <v>526</v>
      </c>
      <c r="C39" s="17" t="str">
        <f>VLOOKUP(Table4[[#This Row],[Name]],Table1[[Player]:[Status]],4,FALSE)</f>
        <v>Adam</v>
      </c>
      <c r="D39" s="17" t="str">
        <f>VLOOKUP(Table4[[#This Row],[Name]],Table1[[Player]:[FP/G]],3,FALSE)</f>
        <v>D</v>
      </c>
      <c r="E39" s="17">
        <f>VLOOKUP(Table4[[#This Row],[Name]],Table1[[Player]:[Age]],5,FALSE)</f>
        <v>24</v>
      </c>
      <c r="F39" s="10">
        <f>MAX(
  _xlfn.IFNA(_xlfn.XLOOKUP(B39,'C'!B:B,'C'!E:E),  -1000000000),
  _xlfn.IFNA(_xlfn.XLOOKUP(B39, LW!B:B, LW!E:E), -1000000000),
  _xlfn.IFNA(_xlfn.XLOOKUP(B39, RW!B:B, RW!E:E), -1000000000),
  _xlfn.IFNA(_xlfn.XLOOKUP(B39, D!B:B,  D!E:E),  -1000000000)
)</f>
        <v>2.2110620523711502</v>
      </c>
    </row>
    <row r="40" spans="2:6" x14ac:dyDescent="0.25">
      <c r="B40" t="s">
        <v>45</v>
      </c>
      <c r="C40" s="17" t="str">
        <f>VLOOKUP(Table4[[#This Row],[Name]],Table1[[Player]:[Status]],4,FALSE)</f>
        <v>Daniel</v>
      </c>
      <c r="D40" s="17" t="str">
        <f>VLOOKUP(Table4[[#This Row],[Name]],Table1[[Player]:[FP/G]],3,FALSE)</f>
        <v>LW,RW</v>
      </c>
      <c r="E40" s="17">
        <f>VLOOKUP(Table4[[#This Row],[Name]],Table1[[Player]:[Age]],5,FALSE)</f>
        <v>29</v>
      </c>
      <c r="F40" s="10">
        <f>MAX(
  _xlfn.IFNA(_xlfn.XLOOKUP(B40,'C'!B:B,'C'!E:E),  -1000000000),
  _xlfn.IFNA(_xlfn.XLOOKUP(B40, LW!B:B, LW!E:E), -1000000000),
  _xlfn.IFNA(_xlfn.XLOOKUP(B40, RW!B:B, RW!E:E), -1000000000),
  _xlfn.IFNA(_xlfn.XLOOKUP(B40, D!B:B,  D!E:E),  -1000000000)
)</f>
        <v>2.2066917397911006</v>
      </c>
    </row>
    <row r="41" spans="2:6" x14ac:dyDescent="0.25">
      <c r="B41" t="s">
        <v>314</v>
      </c>
      <c r="C41" s="17" t="str">
        <f>VLOOKUP(Table4[[#This Row],[Name]],Table1[[Player]:[Status]],4,FALSE)</f>
        <v>Chris</v>
      </c>
      <c r="D41" s="17" t="str">
        <f>VLOOKUP(Table4[[#This Row],[Name]],Table1[[Player]:[FP/G]],3,FALSE)</f>
        <v>D</v>
      </c>
      <c r="E41" s="17">
        <f>VLOOKUP(Table4[[#This Row],[Name]],Table1[[Player]:[Age]],5,FALSE)</f>
        <v>34</v>
      </c>
      <c r="F41" s="10">
        <f>MAX(
  _xlfn.IFNA(_xlfn.XLOOKUP(B41,'C'!B:B,'C'!E:E),  -1000000000),
  _xlfn.IFNA(_xlfn.XLOOKUP(B41, LW!B:B, LW!E:E), -1000000000),
  _xlfn.IFNA(_xlfn.XLOOKUP(B41, RW!B:B, RW!E:E), -1000000000),
  _xlfn.IFNA(_xlfn.XLOOKUP(B41, D!B:B,  D!E:E),  -1000000000)
)</f>
        <v>2.1655710382038</v>
      </c>
    </row>
    <row r="42" spans="2:6" x14ac:dyDescent="0.25">
      <c r="B42" t="s">
        <v>32</v>
      </c>
      <c r="C42" s="17" t="str">
        <f>VLOOKUP(Table4[[#This Row],[Name]],Table1[[Player]:[Status]],4,FALSE)</f>
        <v>Adam</v>
      </c>
      <c r="D42" s="17" t="str">
        <f>VLOOKUP(Table4[[#This Row],[Name]],Table1[[Player]:[FP/G]],3,FALSE)</f>
        <v>LW</v>
      </c>
      <c r="E42" s="17">
        <f>VLOOKUP(Table4[[#This Row],[Name]],Table1[[Player]:[Age]],5,FALSE)</f>
        <v>33</v>
      </c>
      <c r="F42" s="10">
        <f>MAX(
  _xlfn.IFNA(_xlfn.XLOOKUP(B42,'C'!B:B,'C'!E:E),  -1000000000),
  _xlfn.IFNA(_xlfn.XLOOKUP(B42, LW!B:B, LW!E:E), -1000000000),
  _xlfn.IFNA(_xlfn.XLOOKUP(B42, RW!B:B, RW!E:E), -1000000000),
  _xlfn.IFNA(_xlfn.XLOOKUP(B42, D!B:B,  D!E:E),  -1000000000)
)</f>
        <v>2.1608093945149101</v>
      </c>
    </row>
    <row r="43" spans="2:6" x14ac:dyDescent="0.25">
      <c r="B43" t="s">
        <v>103</v>
      </c>
      <c r="C43" s="17" t="str">
        <f>VLOOKUP(Table4[[#This Row],[Name]],Table1[[Player]:[Status]],4,FALSE)</f>
        <v>Gary</v>
      </c>
      <c r="D43" s="17" t="str">
        <f>VLOOKUP(Table4[[#This Row],[Name]],Table1[[Player]:[FP/G]],3,FALSE)</f>
        <v>C,LW</v>
      </c>
      <c r="E43" s="17">
        <f>VLOOKUP(Table4[[#This Row],[Name]],Table1[[Player]:[Age]],5,FALSE)</f>
        <v>29</v>
      </c>
      <c r="F43" s="10">
        <f>MAX(
  _xlfn.IFNA(_xlfn.XLOOKUP(B43,'C'!B:B,'C'!E:E),  -1000000000),
  _xlfn.IFNA(_xlfn.XLOOKUP(B43, LW!B:B, LW!E:E), -1000000000),
  _xlfn.IFNA(_xlfn.XLOOKUP(B43, RW!B:B, RW!E:E), -1000000000),
  _xlfn.IFNA(_xlfn.XLOOKUP(B43, D!B:B,  D!E:E),  -1000000000)
)</f>
        <v>2.1544329250087095</v>
      </c>
    </row>
    <row r="44" spans="2:6" x14ac:dyDescent="0.25">
      <c r="B44" t="s">
        <v>238</v>
      </c>
      <c r="C44" s="17" t="str">
        <f>VLOOKUP(Table4[[#This Row],[Name]],Table1[[Player]:[Status]],4,FALSE)</f>
        <v>Daniel</v>
      </c>
      <c r="D44" s="17" t="str">
        <f>VLOOKUP(Table4[[#This Row],[Name]],Table1[[Player]:[FP/G]],3,FALSE)</f>
        <v>LW</v>
      </c>
      <c r="E44" s="17">
        <f>VLOOKUP(Table4[[#This Row],[Name]],Table1[[Player]:[Age]],5,FALSE)</f>
        <v>27</v>
      </c>
      <c r="F44" s="10">
        <f>MAX(
  _xlfn.IFNA(_xlfn.XLOOKUP(B44,'C'!B:B,'C'!E:E),  -1000000000),
  _xlfn.IFNA(_xlfn.XLOOKUP(B44, LW!B:B, LW!E:E), -1000000000),
  _xlfn.IFNA(_xlfn.XLOOKUP(B44, RW!B:B, RW!E:E), -1000000000),
  _xlfn.IFNA(_xlfn.XLOOKUP(B44, D!B:B,  D!E:E),  -1000000000)
)</f>
        <v>2.1533725424634902</v>
      </c>
    </row>
    <row r="45" spans="2:6" x14ac:dyDescent="0.25">
      <c r="B45" t="s">
        <v>270</v>
      </c>
      <c r="C45" s="17" t="str">
        <f>VLOOKUP(Table4[[#This Row],[Name]],Table1[[Player]:[Status]],4,FALSE)</f>
        <v>Daniel</v>
      </c>
      <c r="D45" s="17" t="str">
        <f>VLOOKUP(Table4[[#This Row],[Name]],Table1[[Player]:[FP/G]],3,FALSE)</f>
        <v>C</v>
      </c>
      <c r="E45" s="17">
        <f>VLOOKUP(Table4[[#This Row],[Name]],Table1[[Player]:[Age]],5,FALSE)</f>
        <v>26</v>
      </c>
      <c r="F45" s="10">
        <f>MAX(
  _xlfn.IFNA(_xlfn.XLOOKUP(B45,'C'!B:B,'C'!E:E),  -1000000000),
  _xlfn.IFNA(_xlfn.XLOOKUP(B45, LW!B:B, LW!E:E), -1000000000),
  _xlfn.IFNA(_xlfn.XLOOKUP(B45, RW!B:B, RW!E:E), -1000000000),
  _xlfn.IFNA(_xlfn.XLOOKUP(B45, D!B:B,  D!E:E),  -1000000000)
)</f>
        <v>2.1362067323182696</v>
      </c>
    </row>
    <row r="46" spans="2:6" x14ac:dyDescent="0.25">
      <c r="B46" t="s">
        <v>50</v>
      </c>
      <c r="C46" s="17" t="str">
        <f>VLOOKUP(Table4[[#This Row],[Name]],Table1[[Player]:[Status]],4,FALSE)</f>
        <v>Seth</v>
      </c>
      <c r="D46" s="17" t="str">
        <f>VLOOKUP(Table4[[#This Row],[Name]],Table1[[Player]:[FP/G]],3,FALSE)</f>
        <v>C</v>
      </c>
      <c r="E46" s="17">
        <f>VLOOKUP(Table4[[#This Row],[Name]],Table1[[Player]:[Age]],5,FALSE)</f>
        <v>34</v>
      </c>
      <c r="F46" s="10">
        <f>MAX(
  _xlfn.IFNA(_xlfn.XLOOKUP(B46,'C'!B:B,'C'!E:E),  -1000000000),
  _xlfn.IFNA(_xlfn.XLOOKUP(B46, LW!B:B, LW!E:E), -1000000000),
  _xlfn.IFNA(_xlfn.XLOOKUP(B46, RW!B:B, RW!E:E), -1000000000),
  _xlfn.IFNA(_xlfn.XLOOKUP(B46, D!B:B,  D!E:E),  -1000000000)
)</f>
        <v>2.13249892715963</v>
      </c>
    </row>
    <row r="47" spans="2:6" x14ac:dyDescent="0.25">
      <c r="B47" t="s">
        <v>264</v>
      </c>
      <c r="C47" s="17" t="str">
        <f>VLOOKUP(Table4[[#This Row],[Name]],Table1[[Player]:[Status]],4,FALSE)</f>
        <v>Joel</v>
      </c>
      <c r="D47" s="17" t="str">
        <f>VLOOKUP(Table4[[#This Row],[Name]],Table1[[Player]:[FP/G]],3,FALSE)</f>
        <v>LW</v>
      </c>
      <c r="E47" s="17">
        <f>VLOOKUP(Table4[[#This Row],[Name]],Table1[[Player]:[Age]],5,FALSE)</f>
        <v>24</v>
      </c>
      <c r="F47" s="10">
        <f>MAX(
  _xlfn.IFNA(_xlfn.XLOOKUP(B47,'C'!B:B,'C'!E:E),  -1000000000),
  _xlfn.IFNA(_xlfn.XLOOKUP(B47, LW!B:B, LW!E:E), -1000000000),
  _xlfn.IFNA(_xlfn.XLOOKUP(B47, RW!B:B, RW!E:E), -1000000000),
  _xlfn.IFNA(_xlfn.XLOOKUP(B47, D!B:B,  D!E:E),  -1000000000)
)</f>
        <v>2.10400167984786</v>
      </c>
    </row>
    <row r="48" spans="2:6" x14ac:dyDescent="0.25">
      <c r="B48" t="s">
        <v>65</v>
      </c>
      <c r="C48" s="17" t="str">
        <f>VLOOKUP(Table4[[#This Row],[Name]],Table1[[Player]:[Status]],4,FALSE)</f>
        <v>Daniel</v>
      </c>
      <c r="D48" s="17" t="str">
        <f>VLOOKUP(Table4[[#This Row],[Name]],Table1[[Player]:[FP/G]],3,FALSE)</f>
        <v>LW</v>
      </c>
      <c r="E48" s="17">
        <f>VLOOKUP(Table4[[#This Row],[Name]],Table1[[Player]:[Age]],5,FALSE)</f>
        <v>30</v>
      </c>
      <c r="F48" s="10">
        <f>MAX(
  _xlfn.IFNA(_xlfn.XLOOKUP(B48,'C'!B:B,'C'!E:E),  -1000000000),
  _xlfn.IFNA(_xlfn.XLOOKUP(B48, LW!B:B, LW!E:E), -1000000000),
  _xlfn.IFNA(_xlfn.XLOOKUP(B48, RW!B:B, RW!E:E), -1000000000),
  _xlfn.IFNA(_xlfn.XLOOKUP(B48, D!B:B,  D!E:E),  -1000000000)
)</f>
        <v>2.0998908386969397</v>
      </c>
    </row>
    <row r="49" spans="2:6" x14ac:dyDescent="0.25">
      <c r="B49" t="s">
        <v>219</v>
      </c>
      <c r="C49" s="17" t="str">
        <f>VLOOKUP(Table4[[#This Row],[Name]],Table1[[Player]:[Status]],4,FALSE)</f>
        <v>Chris</v>
      </c>
      <c r="D49" s="17" t="str">
        <f>VLOOKUP(Table4[[#This Row],[Name]],Table1[[Player]:[FP/G]],3,FALSE)</f>
        <v>D</v>
      </c>
      <c r="E49" s="17">
        <f>VLOOKUP(Table4[[#This Row],[Name]],Table1[[Player]:[Age]],5,FALSE)</f>
        <v>32</v>
      </c>
      <c r="F49" s="10">
        <f>MAX(
  _xlfn.IFNA(_xlfn.XLOOKUP(B49,'C'!B:B,'C'!E:E),  -1000000000),
  _xlfn.IFNA(_xlfn.XLOOKUP(B49, LW!B:B, LW!E:E), -1000000000),
  _xlfn.IFNA(_xlfn.XLOOKUP(B49, RW!B:B, RW!E:E), -1000000000),
  _xlfn.IFNA(_xlfn.XLOOKUP(B49, D!B:B,  D!E:E),  -1000000000)
)</f>
        <v>2.0756645305395498</v>
      </c>
    </row>
    <row r="50" spans="2:6" x14ac:dyDescent="0.25">
      <c r="B50" t="s">
        <v>174</v>
      </c>
      <c r="C50" s="17" t="str">
        <f>VLOOKUP(Table4[[#This Row],[Name]],Table1[[Player]:[Status]],4,FALSE)</f>
        <v>Sam</v>
      </c>
      <c r="D50" s="17" t="str">
        <f>VLOOKUP(Table4[[#This Row],[Name]],Table1[[Player]:[FP/G]],3,FALSE)</f>
        <v>RW</v>
      </c>
      <c r="E50" s="17">
        <f>VLOOKUP(Table4[[#This Row],[Name]],Table1[[Player]:[Age]],5,FALSE)</f>
        <v>29</v>
      </c>
      <c r="F50" s="10">
        <f>MAX(
  _xlfn.IFNA(_xlfn.XLOOKUP(B50,'C'!B:B,'C'!E:E),  -1000000000),
  _xlfn.IFNA(_xlfn.XLOOKUP(B50, LW!B:B, LW!E:E), -1000000000),
  _xlfn.IFNA(_xlfn.XLOOKUP(B50, RW!B:B, RW!E:E), -1000000000),
  _xlfn.IFNA(_xlfn.XLOOKUP(B50, D!B:B,  D!E:E),  -1000000000)
)</f>
        <v>2.0600420491723099</v>
      </c>
    </row>
    <row r="51" spans="2:6" x14ac:dyDescent="0.25">
      <c r="B51" t="s">
        <v>1578</v>
      </c>
      <c r="C51" s="17" t="str">
        <f>VLOOKUP(Table4[[#This Row],[Name]],Table1[[Player]:[Status]],4,FALSE)</f>
        <v>Sam</v>
      </c>
      <c r="D51" s="17" t="str">
        <f>VLOOKUP(Table4[[#This Row],[Name]],Table1[[Player]:[FP/G]],3,FALSE)</f>
        <v>RW</v>
      </c>
      <c r="E51" s="17">
        <f>VLOOKUP(Table4[[#This Row],[Name]],Table1[[Player]:[Age]],5,FALSE)</f>
        <v>25</v>
      </c>
      <c r="F51" s="10">
        <f>MAX(
  _xlfn.IFNA(_xlfn.XLOOKUP(B51,'C'!B:B,'C'!E:E),  -1000000000),
  _xlfn.IFNA(_xlfn.XLOOKUP(B51, LW!B:B, LW!E:E), -1000000000),
  _xlfn.IFNA(_xlfn.XLOOKUP(B51, RW!B:B, RW!E:E), -1000000000),
  _xlfn.IFNA(_xlfn.XLOOKUP(B51, D!B:B,  D!E:E),  -1000000000)
)</f>
        <v>2.0537679101970499</v>
      </c>
    </row>
    <row r="52" spans="2:6" x14ac:dyDescent="0.25">
      <c r="B52" t="s">
        <v>52</v>
      </c>
      <c r="C52" s="17" t="str">
        <f>VLOOKUP(Table4[[#This Row],[Name]],Table1[[Player]:[Status]],4,FALSE)</f>
        <v>Murica</v>
      </c>
      <c r="D52" s="17" t="str">
        <f>VLOOKUP(Table4[[#This Row],[Name]],Table1[[Player]:[FP/G]],3,FALSE)</f>
        <v>LW,RW</v>
      </c>
      <c r="E52" s="17">
        <f>VLOOKUP(Table4[[#This Row],[Name]],Table1[[Player]:[Age]],5,FALSE)</f>
        <v>29</v>
      </c>
      <c r="F52" s="10">
        <f>MAX(
  _xlfn.IFNA(_xlfn.XLOOKUP(B52,'C'!B:B,'C'!E:E),  -1000000000),
  _xlfn.IFNA(_xlfn.XLOOKUP(B52, LW!B:B, LW!E:E), -1000000000),
  _xlfn.IFNA(_xlfn.XLOOKUP(B52, RW!B:B, RW!E:E), -1000000000),
  _xlfn.IFNA(_xlfn.XLOOKUP(B52, D!B:B,  D!E:E),  -1000000000)
)</f>
        <v>2.0506210400242404</v>
      </c>
    </row>
    <row r="53" spans="2:6" x14ac:dyDescent="0.25">
      <c r="B53" t="s">
        <v>100</v>
      </c>
      <c r="C53" s="17" t="str">
        <f>VLOOKUP(Table4[[#This Row],[Name]],Table1[[Player]:[Status]],4,FALSE)</f>
        <v>Seth</v>
      </c>
      <c r="D53" s="17" t="str">
        <f>VLOOKUP(Table4[[#This Row],[Name]],Table1[[Player]:[FP/G]],3,FALSE)</f>
        <v>C</v>
      </c>
      <c r="E53" s="17">
        <f>VLOOKUP(Table4[[#This Row],[Name]],Table1[[Player]:[Age]],5,FALSE)</f>
        <v>28</v>
      </c>
      <c r="F53" s="10">
        <f>MAX(
  _xlfn.IFNA(_xlfn.XLOOKUP(B53,'C'!B:B,'C'!E:E),  -1000000000),
  _xlfn.IFNA(_xlfn.XLOOKUP(B53, LW!B:B, LW!E:E), -1000000000),
  _xlfn.IFNA(_xlfn.XLOOKUP(B53, RW!B:B, RW!E:E), -1000000000),
  _xlfn.IFNA(_xlfn.XLOOKUP(B53, D!B:B,  D!E:E),  -1000000000)
)</f>
        <v>2.0463450464201101</v>
      </c>
    </row>
    <row r="54" spans="2:6" x14ac:dyDescent="0.25">
      <c r="B54" t="s">
        <v>474</v>
      </c>
      <c r="C54" s="17" t="str">
        <f>VLOOKUP(Table4[[#This Row],[Name]],Table1[[Player]:[Status]],4,FALSE)</f>
        <v>Isaac</v>
      </c>
      <c r="D54" s="17" t="str">
        <f>VLOOKUP(Table4[[#This Row],[Name]],Table1[[Player]:[FP/G]],3,FALSE)</f>
        <v>D</v>
      </c>
      <c r="E54" s="17">
        <f>VLOOKUP(Table4[[#This Row],[Name]],Table1[[Player]:[Age]],5,FALSE)</f>
        <v>30</v>
      </c>
      <c r="F54" s="10">
        <f>MAX(
  _xlfn.IFNA(_xlfn.XLOOKUP(B54,'C'!B:B,'C'!E:E),  -1000000000),
  _xlfn.IFNA(_xlfn.XLOOKUP(B54, LW!B:B, LW!E:E), -1000000000),
  _xlfn.IFNA(_xlfn.XLOOKUP(B54, RW!B:B, RW!E:E), -1000000000),
  _xlfn.IFNA(_xlfn.XLOOKUP(B54, D!B:B,  D!E:E),  -1000000000)
)</f>
        <v>2.0407833975638097</v>
      </c>
    </row>
    <row r="55" spans="2:6" x14ac:dyDescent="0.25">
      <c r="B55" t="s">
        <v>191</v>
      </c>
      <c r="C55" s="17" t="str">
        <f>VLOOKUP(Table4[[#This Row],[Name]],Table1[[Player]:[Status]],4,FALSE)</f>
        <v>Shannon</v>
      </c>
      <c r="D55" s="17" t="str">
        <f>VLOOKUP(Table4[[#This Row],[Name]],Table1[[Player]:[FP/G]],3,FALSE)</f>
        <v>C,LW</v>
      </c>
      <c r="E55" s="17">
        <f>VLOOKUP(Table4[[#This Row],[Name]],Table1[[Player]:[Age]],5,FALSE)</f>
        <v>31</v>
      </c>
      <c r="F55" s="10">
        <f>MAX(
  _xlfn.IFNA(_xlfn.XLOOKUP(B55,'C'!B:B,'C'!E:E),  -1000000000),
  _xlfn.IFNA(_xlfn.XLOOKUP(B55, LW!B:B, LW!E:E), -1000000000),
  _xlfn.IFNA(_xlfn.XLOOKUP(B55, RW!B:B, RW!E:E), -1000000000),
  _xlfn.IFNA(_xlfn.XLOOKUP(B55, D!B:B,  D!E:E),  -1000000000)
)</f>
        <v>1.9886686652704393</v>
      </c>
    </row>
    <row r="56" spans="2:6" x14ac:dyDescent="0.25">
      <c r="B56" t="s">
        <v>189</v>
      </c>
      <c r="C56" s="17" t="str">
        <f>VLOOKUP(Table4[[#This Row],[Name]],Table1[[Player]:[Status]],4,FALSE)</f>
        <v>Gary</v>
      </c>
      <c r="D56" s="17" t="str">
        <f>VLOOKUP(Table4[[#This Row],[Name]],Table1[[Player]:[FP/G]],3,FALSE)</f>
        <v>D</v>
      </c>
      <c r="E56" s="17">
        <f>VLOOKUP(Table4[[#This Row],[Name]],Table1[[Player]:[Age]],5,FALSE)</f>
        <v>31</v>
      </c>
      <c r="F56" s="10">
        <f>MAX(
  _xlfn.IFNA(_xlfn.XLOOKUP(B56,'C'!B:B,'C'!E:E),  -1000000000),
  _xlfn.IFNA(_xlfn.XLOOKUP(B56, LW!B:B, LW!E:E), -1000000000),
  _xlfn.IFNA(_xlfn.XLOOKUP(B56, RW!B:B, RW!E:E), -1000000000),
  _xlfn.IFNA(_xlfn.XLOOKUP(B56, D!B:B,  D!E:E),  -1000000000)
)</f>
        <v>1.9822610336305901</v>
      </c>
    </row>
    <row r="57" spans="2:6" x14ac:dyDescent="0.25">
      <c r="B57" t="s">
        <v>221</v>
      </c>
      <c r="C57" s="17" t="str">
        <f>VLOOKUP(Table4[[#This Row],[Name]],Table1[[Player]:[Status]],4,FALSE)</f>
        <v>Joel</v>
      </c>
      <c r="D57" s="17" t="str">
        <f>VLOOKUP(Table4[[#This Row],[Name]],Table1[[Player]:[FP/G]],3,FALSE)</f>
        <v>D</v>
      </c>
      <c r="E57" s="17">
        <f>VLOOKUP(Table4[[#This Row],[Name]],Table1[[Player]:[Age]],5,FALSE)</f>
        <v>32</v>
      </c>
      <c r="F57" s="10">
        <f>MAX(
  _xlfn.IFNA(_xlfn.XLOOKUP(B57,'C'!B:B,'C'!E:E),  -1000000000),
  _xlfn.IFNA(_xlfn.XLOOKUP(B57, LW!B:B, LW!E:E), -1000000000),
  _xlfn.IFNA(_xlfn.XLOOKUP(B57, RW!B:B, RW!E:E), -1000000000),
  _xlfn.IFNA(_xlfn.XLOOKUP(B57, D!B:B,  D!E:E),  -1000000000)
)</f>
        <v>1.9736854049326702</v>
      </c>
    </row>
    <row r="58" spans="2:6" x14ac:dyDescent="0.25">
      <c r="B58" t="s">
        <v>217</v>
      </c>
      <c r="C58" s="17" t="str">
        <f>VLOOKUP(Table4[[#This Row],[Name]],Table1[[Player]:[Status]],4,FALSE)</f>
        <v>Isaac</v>
      </c>
      <c r="D58" s="17" t="str">
        <f>VLOOKUP(Table4[[#This Row],[Name]],Table1[[Player]:[FP/G]],3,FALSE)</f>
        <v>RW</v>
      </c>
      <c r="E58" s="17">
        <f>VLOOKUP(Table4[[#This Row],[Name]],Table1[[Player]:[Age]],5,FALSE)</f>
        <v>27</v>
      </c>
      <c r="F58" s="10">
        <f>MAX(
  _xlfn.IFNA(_xlfn.XLOOKUP(B58,'C'!B:B,'C'!E:E),  -1000000000),
  _xlfn.IFNA(_xlfn.XLOOKUP(B58, LW!B:B, LW!E:E), -1000000000),
  _xlfn.IFNA(_xlfn.XLOOKUP(B58, RW!B:B, RW!E:E), -1000000000),
  _xlfn.IFNA(_xlfn.XLOOKUP(B58, D!B:B,  D!E:E),  -1000000000)
)</f>
        <v>1.9652070668086798</v>
      </c>
    </row>
    <row r="59" spans="2:6" x14ac:dyDescent="0.25">
      <c r="B59" t="s">
        <v>197</v>
      </c>
      <c r="C59" s="17" t="str">
        <f>VLOOKUP(Table4[[#This Row],[Name]],Table1[[Player]:[Status]],4,FALSE)</f>
        <v>Seth</v>
      </c>
      <c r="D59" s="17" t="str">
        <f>VLOOKUP(Table4[[#This Row],[Name]],Table1[[Player]:[FP/G]],3,FALSE)</f>
        <v>LW</v>
      </c>
      <c r="E59" s="17">
        <f>VLOOKUP(Table4[[#This Row],[Name]],Table1[[Player]:[Age]],5,FALSE)</f>
        <v>27</v>
      </c>
      <c r="F59" s="10">
        <f>MAX(
  _xlfn.IFNA(_xlfn.XLOOKUP(B59,'C'!B:B,'C'!E:E),  -1000000000),
  _xlfn.IFNA(_xlfn.XLOOKUP(B59, LW!B:B, LW!E:E), -1000000000),
  _xlfn.IFNA(_xlfn.XLOOKUP(B59, RW!B:B, RW!E:E), -1000000000),
  _xlfn.IFNA(_xlfn.XLOOKUP(B59, D!B:B,  D!E:E),  -1000000000)
)</f>
        <v>1.9591241769135399</v>
      </c>
    </row>
    <row r="60" spans="2:6" x14ac:dyDescent="0.25">
      <c r="B60" t="s">
        <v>456</v>
      </c>
      <c r="C60" s="17" t="str">
        <f>VLOOKUP(Table4[[#This Row],[Name]],Table1[[Player]:[Status]],4,FALSE)</f>
        <v>Daniel</v>
      </c>
      <c r="D60" s="17" t="str">
        <f>VLOOKUP(Table4[[#This Row],[Name]],Table1[[Player]:[FP/G]],3,FALSE)</f>
        <v>D</v>
      </c>
      <c r="E60" s="17">
        <f>VLOOKUP(Table4[[#This Row],[Name]],Table1[[Player]:[Age]],5,FALSE)</f>
        <v>24</v>
      </c>
      <c r="F60" s="10">
        <f>MAX(
  _xlfn.IFNA(_xlfn.XLOOKUP(B60,'C'!B:B,'C'!E:E),  -1000000000),
  _xlfn.IFNA(_xlfn.XLOOKUP(B60, LW!B:B, LW!E:E), -1000000000),
  _xlfn.IFNA(_xlfn.XLOOKUP(B60, RW!B:B, RW!E:E), -1000000000),
  _xlfn.IFNA(_xlfn.XLOOKUP(B60, D!B:B,  D!E:E),  -1000000000)
)</f>
        <v>1.9427974418966594</v>
      </c>
    </row>
    <row r="61" spans="2:6" x14ac:dyDescent="0.25">
      <c r="B61" t="s">
        <v>256</v>
      </c>
      <c r="C61" s="17" t="str">
        <f>VLOOKUP(Table4[[#This Row],[Name]],Table1[[Player]:[Status]],4,FALSE)</f>
        <v>Gary</v>
      </c>
      <c r="D61" s="17" t="str">
        <f>VLOOKUP(Table4[[#This Row],[Name]],Table1[[Player]:[FP/G]],3,FALSE)</f>
        <v>D</v>
      </c>
      <c r="E61" s="17">
        <f>VLOOKUP(Table4[[#This Row],[Name]],Table1[[Player]:[Age]],5,FALSE)</f>
        <v>35</v>
      </c>
      <c r="F61" s="10">
        <f>MAX(
  _xlfn.IFNA(_xlfn.XLOOKUP(B61,'C'!B:B,'C'!E:E),  -1000000000),
  _xlfn.IFNA(_xlfn.XLOOKUP(B61, LW!B:B, LW!E:E), -1000000000),
  _xlfn.IFNA(_xlfn.XLOOKUP(B61, RW!B:B, RW!E:E), -1000000000),
  _xlfn.IFNA(_xlfn.XLOOKUP(B61, D!B:B,  D!E:E),  -1000000000)
)</f>
        <v>1.9332012476555303</v>
      </c>
    </row>
    <row r="62" spans="2:6" x14ac:dyDescent="0.25">
      <c r="B62" t="s">
        <v>382</v>
      </c>
      <c r="C62" s="17" t="str">
        <f>VLOOKUP(Table4[[#This Row],[Name]],Table1[[Player]:[Status]],4,FALSE)</f>
        <v>Nate</v>
      </c>
      <c r="D62" s="17" t="str">
        <f>VLOOKUP(Table4[[#This Row],[Name]],Table1[[Player]:[FP/G]],3,FALSE)</f>
        <v>D</v>
      </c>
      <c r="E62" s="17">
        <f>VLOOKUP(Table4[[#This Row],[Name]],Table1[[Player]:[Age]],5,FALSE)</f>
        <v>27</v>
      </c>
      <c r="F62" s="10">
        <f>MAX(
  _xlfn.IFNA(_xlfn.XLOOKUP(B62,'C'!B:B,'C'!E:E),  -1000000000),
  _xlfn.IFNA(_xlfn.XLOOKUP(B62, LW!B:B, LW!E:E), -1000000000),
  _xlfn.IFNA(_xlfn.XLOOKUP(B62, RW!B:B, RW!E:E), -1000000000),
  _xlfn.IFNA(_xlfn.XLOOKUP(B62, D!B:B,  D!E:E),  -1000000000)
)</f>
        <v>1.9280878919792199</v>
      </c>
    </row>
    <row r="63" spans="2:6" x14ac:dyDescent="0.25">
      <c r="B63" t="s">
        <v>282</v>
      </c>
      <c r="C63" s="17" t="str">
        <f>VLOOKUP(Table4[[#This Row],[Name]],Table1[[Player]:[Status]],4,FALSE)</f>
        <v>Chris</v>
      </c>
      <c r="D63" s="17" t="str">
        <f>VLOOKUP(Table4[[#This Row],[Name]],Table1[[Player]:[FP/G]],3,FALSE)</f>
        <v>D</v>
      </c>
      <c r="E63" s="17">
        <f>VLOOKUP(Table4[[#This Row],[Name]],Table1[[Player]:[Age]],5,FALSE)</f>
        <v>28</v>
      </c>
      <c r="F63" s="10">
        <f>MAX(
  _xlfn.IFNA(_xlfn.XLOOKUP(B63,'C'!B:B,'C'!E:E),  -1000000000),
  _xlfn.IFNA(_xlfn.XLOOKUP(B63, LW!B:B, LW!E:E), -1000000000),
  _xlfn.IFNA(_xlfn.XLOOKUP(B63, RW!B:B, RW!E:E), -1000000000),
  _xlfn.IFNA(_xlfn.XLOOKUP(B63, D!B:B,  D!E:E),  -1000000000)
)</f>
        <v>1.9185387641496794</v>
      </c>
    </row>
    <row r="64" spans="2:6" x14ac:dyDescent="0.25">
      <c r="B64" t="s">
        <v>125</v>
      </c>
      <c r="C64" s="17" t="str">
        <f>VLOOKUP(Table4[[#This Row],[Name]],Table1[[Player]:[Status]],4,FALSE)</f>
        <v>Murica</v>
      </c>
      <c r="D64" s="17" t="str">
        <f>VLOOKUP(Table4[[#This Row],[Name]],Table1[[Player]:[FP/G]],3,FALSE)</f>
        <v>D</v>
      </c>
      <c r="E64" s="17">
        <f>VLOOKUP(Table4[[#This Row],[Name]],Table1[[Player]:[Age]],5,FALSE)</f>
        <v>30</v>
      </c>
      <c r="F64" s="10">
        <f>MAX(
  _xlfn.IFNA(_xlfn.XLOOKUP(B64,'C'!B:B,'C'!E:E),  -1000000000),
  _xlfn.IFNA(_xlfn.XLOOKUP(B64, LW!B:B, LW!E:E), -1000000000),
  _xlfn.IFNA(_xlfn.XLOOKUP(B64, RW!B:B, RW!E:E), -1000000000),
  _xlfn.IFNA(_xlfn.XLOOKUP(B64, D!B:B,  D!E:E),  -1000000000)
)</f>
        <v>1.8887469881765702</v>
      </c>
    </row>
    <row r="65" spans="2:6" x14ac:dyDescent="0.25">
      <c r="B65" t="s">
        <v>207</v>
      </c>
      <c r="C65" s="17" t="str">
        <f>VLOOKUP(Table4[[#This Row],[Name]],Table1[[Player]:[Status]],4,FALSE)</f>
        <v>Chris</v>
      </c>
      <c r="D65" s="17" t="str">
        <f>VLOOKUP(Table4[[#This Row],[Name]],Table1[[Player]:[FP/G]],3,FALSE)</f>
        <v>RW</v>
      </c>
      <c r="E65" s="17">
        <f>VLOOKUP(Table4[[#This Row],[Name]],Table1[[Player]:[Age]],5,FALSE)</f>
        <v>27</v>
      </c>
      <c r="F65" s="10">
        <f>MAX(
  _xlfn.IFNA(_xlfn.XLOOKUP(B65,'C'!B:B,'C'!E:E),  -1000000000),
  _xlfn.IFNA(_xlfn.XLOOKUP(B65, LW!B:B, LW!E:E), -1000000000),
  _xlfn.IFNA(_xlfn.XLOOKUP(B65, RW!B:B, RW!E:E), -1000000000),
  _xlfn.IFNA(_xlfn.XLOOKUP(B65, D!B:B,  D!E:E),  -1000000000)
)</f>
        <v>1.8612513608466799</v>
      </c>
    </row>
    <row r="66" spans="2:6" x14ac:dyDescent="0.25">
      <c r="B66" t="s">
        <v>106</v>
      </c>
      <c r="C66" s="17" t="str">
        <f>VLOOKUP(Table4[[#This Row],[Name]],Table1[[Player]:[Status]],4,FALSE)</f>
        <v>Abby</v>
      </c>
      <c r="D66" s="17" t="str">
        <f>VLOOKUP(Table4[[#This Row],[Name]],Table1[[Player]:[FP/G]],3,FALSE)</f>
        <v>RW</v>
      </c>
      <c r="E66" s="17">
        <f>VLOOKUP(Table4[[#This Row],[Name]],Table1[[Player]:[Age]],5,FALSE)</f>
        <v>27</v>
      </c>
      <c r="F66" s="10">
        <f>MAX(
  _xlfn.IFNA(_xlfn.XLOOKUP(B66,'C'!B:B,'C'!E:E),  -1000000000),
  _xlfn.IFNA(_xlfn.XLOOKUP(B66, LW!B:B, LW!E:E), -1000000000),
  _xlfn.IFNA(_xlfn.XLOOKUP(B66, RW!B:B, RW!E:E), -1000000000),
  _xlfn.IFNA(_xlfn.XLOOKUP(B66, D!B:B,  D!E:E),  -1000000000)
)</f>
        <v>1.8481178624114003</v>
      </c>
    </row>
    <row r="67" spans="2:6" x14ac:dyDescent="0.25">
      <c r="B67" t="s">
        <v>280</v>
      </c>
      <c r="C67" s="17" t="str">
        <f>VLOOKUP(Table4[[#This Row],[Name]],Table1[[Player]:[Status]],4,FALSE)</f>
        <v>Daniel</v>
      </c>
      <c r="D67" s="17" t="str">
        <f>VLOOKUP(Table4[[#This Row],[Name]],Table1[[Player]:[FP/G]],3,FALSE)</f>
        <v>D</v>
      </c>
      <c r="E67" s="17">
        <f>VLOOKUP(Table4[[#This Row],[Name]],Table1[[Player]:[Age]],5,FALSE)</f>
        <v>25</v>
      </c>
      <c r="F67" s="10">
        <f>MAX(
  _xlfn.IFNA(_xlfn.XLOOKUP(B67,'C'!B:B,'C'!E:E),  -1000000000),
  _xlfn.IFNA(_xlfn.XLOOKUP(B67, LW!B:B, LW!E:E), -1000000000),
  _xlfn.IFNA(_xlfn.XLOOKUP(B67, RW!B:B, RW!E:E), -1000000000),
  _xlfn.IFNA(_xlfn.XLOOKUP(B67, D!B:B,  D!E:E),  -1000000000)
)</f>
        <v>1.8210342844142202</v>
      </c>
    </row>
    <row r="68" spans="2:6" x14ac:dyDescent="0.25">
      <c r="B68" t="s">
        <v>350</v>
      </c>
      <c r="C68" s="17" t="str">
        <f>VLOOKUP(Table4[[#This Row],[Name]],Table1[[Player]:[Status]],4,FALSE)</f>
        <v>Logan</v>
      </c>
      <c r="D68" s="17" t="str">
        <f>VLOOKUP(Table4[[#This Row],[Name]],Table1[[Player]:[FP/G]],3,FALSE)</f>
        <v>D</v>
      </c>
      <c r="E68" s="17">
        <f>VLOOKUP(Table4[[#This Row],[Name]],Table1[[Player]:[Age]],5,FALSE)</f>
        <v>31</v>
      </c>
      <c r="F68" s="10">
        <f>MAX(
  _xlfn.IFNA(_xlfn.XLOOKUP(B68,'C'!B:B,'C'!E:E),  -1000000000),
  _xlfn.IFNA(_xlfn.XLOOKUP(B68, LW!B:B, LW!E:E), -1000000000),
  _xlfn.IFNA(_xlfn.XLOOKUP(B68, RW!B:B, RW!E:E), -1000000000),
  _xlfn.IFNA(_xlfn.XLOOKUP(B68, D!B:B,  D!E:E),  -1000000000)
)</f>
        <v>1.8152545159948801</v>
      </c>
    </row>
    <row r="69" spans="2:6" x14ac:dyDescent="0.25">
      <c r="B69" t="s">
        <v>1579</v>
      </c>
      <c r="C69" s="17" t="str">
        <f>VLOOKUP(Table4[[#This Row],[Name]],Table1[[Player]:[Status]],4,FALSE)</f>
        <v>Nate</v>
      </c>
      <c r="D69" s="17" t="str">
        <f>VLOOKUP(Table4[[#This Row],[Name]],Table1[[Player]:[FP/G]],3,FALSE)</f>
        <v>C,RW</v>
      </c>
      <c r="E69" s="17">
        <f>VLOOKUP(Table4[[#This Row],[Name]],Table1[[Player]:[Age]],5,FALSE)</f>
        <v>22</v>
      </c>
      <c r="F69" s="10">
        <f>MAX(
  _xlfn.IFNA(_xlfn.XLOOKUP(B69,'C'!B:B,'C'!E:E),  -1000000000),
  _xlfn.IFNA(_xlfn.XLOOKUP(B69, LW!B:B, LW!E:E), -1000000000),
  _xlfn.IFNA(_xlfn.XLOOKUP(B69, RW!B:B, RW!E:E), -1000000000),
  _xlfn.IFNA(_xlfn.XLOOKUP(B69, D!B:B,  D!E:E),  -1000000000)
)</f>
        <v>1.8096014210095897</v>
      </c>
    </row>
    <row r="70" spans="2:6" x14ac:dyDescent="0.25">
      <c r="B70" t="s">
        <v>354</v>
      </c>
      <c r="C70" s="17" t="str">
        <f>VLOOKUP(Table4[[#This Row],[Name]],Table1[[Player]:[Status]],4,FALSE)</f>
        <v>W &lt;small&gt;(Mon)&lt;/small&gt;</v>
      </c>
      <c r="D70" s="17" t="str">
        <f>VLOOKUP(Table4[[#This Row],[Name]],Table1[[Player]:[FP/G]],3,FALSE)</f>
        <v>D</v>
      </c>
      <c r="E70" s="17">
        <f>VLOOKUP(Table4[[#This Row],[Name]],Table1[[Player]:[Age]],5,FALSE)</f>
        <v>35</v>
      </c>
      <c r="F70" s="10">
        <f>MAX(
  _xlfn.IFNA(_xlfn.XLOOKUP(B70,'C'!B:B,'C'!E:E),  -1000000000),
  _xlfn.IFNA(_xlfn.XLOOKUP(B70, LW!B:B, LW!E:E), -1000000000),
  _xlfn.IFNA(_xlfn.XLOOKUP(B70, RW!B:B, RW!E:E), -1000000000),
  _xlfn.IFNA(_xlfn.XLOOKUP(B70, D!B:B,  D!E:E),  -1000000000)
)</f>
        <v>1.7967513970369602</v>
      </c>
    </row>
    <row r="71" spans="2:6" x14ac:dyDescent="0.25">
      <c r="B71" t="s">
        <v>436</v>
      </c>
      <c r="C71" s="17" t="str">
        <f>VLOOKUP(Table4[[#This Row],[Name]],Table1[[Player]:[Status]],4,FALSE)</f>
        <v>Shannon</v>
      </c>
      <c r="D71" s="17" t="str">
        <f>VLOOKUP(Table4[[#This Row],[Name]],Table1[[Player]:[FP/G]],3,FALSE)</f>
        <v>D</v>
      </c>
      <c r="E71" s="17">
        <f>VLOOKUP(Table4[[#This Row],[Name]],Table1[[Player]:[Age]],5,FALSE)</f>
        <v>26</v>
      </c>
      <c r="F71" s="10">
        <f>MAX(
  _xlfn.IFNA(_xlfn.XLOOKUP(B71,'C'!B:B,'C'!E:E),  -1000000000),
  _xlfn.IFNA(_xlfn.XLOOKUP(B71, LW!B:B, LW!E:E), -1000000000),
  _xlfn.IFNA(_xlfn.XLOOKUP(B71, RW!B:B, RW!E:E), -1000000000),
  _xlfn.IFNA(_xlfn.XLOOKUP(B71, D!B:B,  D!E:E),  -1000000000)
)</f>
        <v>1.7958974687585698</v>
      </c>
    </row>
    <row r="72" spans="2:6" x14ac:dyDescent="0.25">
      <c r="B72" t="s">
        <v>227</v>
      </c>
      <c r="C72" s="17" t="str">
        <f>VLOOKUP(Table4[[#This Row],[Name]],Table1[[Player]:[Status]],4,FALSE)</f>
        <v>Chris</v>
      </c>
      <c r="D72" s="17" t="str">
        <f>VLOOKUP(Table4[[#This Row],[Name]],Table1[[Player]:[FP/G]],3,FALSE)</f>
        <v>RW</v>
      </c>
      <c r="E72" s="17">
        <f>VLOOKUP(Table4[[#This Row],[Name]],Table1[[Player]:[Age]],5,FALSE)</f>
        <v>26</v>
      </c>
      <c r="F72" s="10">
        <f>MAX(
  _xlfn.IFNA(_xlfn.XLOOKUP(B72,'C'!B:B,'C'!E:E),  -1000000000),
  _xlfn.IFNA(_xlfn.XLOOKUP(B72, LW!B:B, LW!E:E), -1000000000),
  _xlfn.IFNA(_xlfn.XLOOKUP(B72, RW!B:B, RW!E:E), -1000000000),
  _xlfn.IFNA(_xlfn.XLOOKUP(B72, D!B:B,  D!E:E),  -1000000000)
)</f>
        <v>1.7919482842465504</v>
      </c>
    </row>
    <row r="73" spans="2:6" x14ac:dyDescent="0.25">
      <c r="B73" t="s">
        <v>77</v>
      </c>
      <c r="C73" s="17" t="str">
        <f>VLOOKUP(Table4[[#This Row],[Name]],Table1[[Player]:[Status]],4,FALSE)</f>
        <v>Daniel</v>
      </c>
      <c r="D73" s="17" t="str">
        <f>VLOOKUP(Table4[[#This Row],[Name]],Table1[[Player]:[FP/G]],3,FALSE)</f>
        <v>C</v>
      </c>
      <c r="E73" s="17">
        <f>VLOOKUP(Table4[[#This Row],[Name]],Table1[[Player]:[Age]],5,FALSE)</f>
        <v>38</v>
      </c>
      <c r="F73" s="10">
        <f>MAX(
  _xlfn.IFNA(_xlfn.XLOOKUP(B73,'C'!B:B,'C'!E:E),  -1000000000),
  _xlfn.IFNA(_xlfn.XLOOKUP(B73, LW!B:B, LW!E:E), -1000000000),
  _xlfn.IFNA(_xlfn.XLOOKUP(B73, RW!B:B, RW!E:E), -1000000000),
  _xlfn.IFNA(_xlfn.XLOOKUP(B73, D!B:B,  D!E:E),  -1000000000)
)</f>
        <v>1.7725326709888893</v>
      </c>
    </row>
    <row r="74" spans="2:6" x14ac:dyDescent="0.25">
      <c r="B74" t="s">
        <v>136</v>
      </c>
      <c r="C74" s="17" t="str">
        <f>VLOOKUP(Table4[[#This Row],[Name]],Table1[[Player]:[Status]],4,FALSE)</f>
        <v>Sam</v>
      </c>
      <c r="D74" s="17" t="str">
        <f>VLOOKUP(Table4[[#This Row],[Name]],Table1[[Player]:[FP/G]],3,FALSE)</f>
        <v>C,RW</v>
      </c>
      <c r="E74" s="17">
        <f>VLOOKUP(Table4[[#This Row],[Name]],Table1[[Player]:[Age]],5,FALSE)</f>
        <v>34</v>
      </c>
      <c r="F74" s="10">
        <f>MAX(
  _xlfn.IFNA(_xlfn.XLOOKUP(B74,'C'!B:B,'C'!E:E),  -1000000000),
  _xlfn.IFNA(_xlfn.XLOOKUP(B74, LW!B:B, LW!E:E), -1000000000),
  _xlfn.IFNA(_xlfn.XLOOKUP(B74, RW!B:B, RW!E:E), -1000000000),
  _xlfn.IFNA(_xlfn.XLOOKUP(B74, D!B:B,  D!E:E),  -1000000000)
)</f>
        <v>1.7661689098356401</v>
      </c>
    </row>
    <row r="75" spans="2:6" x14ac:dyDescent="0.25">
      <c r="B75" t="s">
        <v>304</v>
      </c>
      <c r="C75" s="17" t="str">
        <f>VLOOKUP(Table4[[#This Row],[Name]],Table1[[Player]:[Status]],4,FALSE)</f>
        <v>Shannon</v>
      </c>
      <c r="D75" s="17" t="str">
        <f>VLOOKUP(Table4[[#This Row],[Name]],Table1[[Player]:[FP/G]],3,FALSE)</f>
        <v>D</v>
      </c>
      <c r="E75" s="17">
        <f>VLOOKUP(Table4[[#This Row],[Name]],Table1[[Player]:[Age]],5,FALSE)</f>
        <v>27</v>
      </c>
      <c r="F75" s="10">
        <f>MAX(
  _xlfn.IFNA(_xlfn.XLOOKUP(B75,'C'!B:B,'C'!E:E),  -1000000000),
  _xlfn.IFNA(_xlfn.XLOOKUP(B75, LW!B:B, LW!E:E), -1000000000),
  _xlfn.IFNA(_xlfn.XLOOKUP(B75, RW!B:B, RW!E:E), -1000000000),
  _xlfn.IFNA(_xlfn.XLOOKUP(B75, D!B:B,  D!E:E),  -1000000000)
)</f>
        <v>1.7525215836103696</v>
      </c>
    </row>
    <row r="76" spans="2:6" x14ac:dyDescent="0.25">
      <c r="B76" t="s">
        <v>370</v>
      </c>
      <c r="C76" s="17" t="str">
        <f>VLOOKUP(Table4[[#This Row],[Name]],Table1[[Player]:[Status]],4,FALSE)</f>
        <v>Shannon</v>
      </c>
      <c r="D76" s="17" t="str">
        <f>VLOOKUP(Table4[[#This Row],[Name]],Table1[[Player]:[FP/G]],3,FALSE)</f>
        <v>D</v>
      </c>
      <c r="E76" s="17">
        <f>VLOOKUP(Table4[[#This Row],[Name]],Table1[[Player]:[Age]],5,FALSE)</f>
        <v>27</v>
      </c>
      <c r="F76" s="10">
        <f>MAX(
  _xlfn.IFNA(_xlfn.XLOOKUP(B76,'C'!B:B,'C'!E:E),  -1000000000),
  _xlfn.IFNA(_xlfn.XLOOKUP(B76, LW!B:B, LW!E:E), -1000000000),
  _xlfn.IFNA(_xlfn.XLOOKUP(B76, RW!B:B, RW!E:E), -1000000000),
  _xlfn.IFNA(_xlfn.XLOOKUP(B76, D!B:B,  D!E:E),  -1000000000)
)</f>
        <v>1.74891361050258</v>
      </c>
    </row>
    <row r="77" spans="2:6" x14ac:dyDescent="0.25">
      <c r="B77" t="s">
        <v>225</v>
      </c>
      <c r="C77" s="17" t="str">
        <f>VLOOKUP(Table4[[#This Row],[Name]],Table1[[Player]:[Status]],4,FALSE)</f>
        <v>Shannon</v>
      </c>
      <c r="D77" s="17" t="str">
        <f>VLOOKUP(Table4[[#This Row],[Name]],Table1[[Player]:[FP/G]],3,FALSE)</f>
        <v>LW</v>
      </c>
      <c r="E77" s="17">
        <f>VLOOKUP(Table4[[#This Row],[Name]],Table1[[Player]:[Age]],5,FALSE)</f>
        <v>27</v>
      </c>
      <c r="F77" s="10">
        <f>MAX(
  _xlfn.IFNA(_xlfn.XLOOKUP(B77,'C'!B:B,'C'!E:E),  -1000000000),
  _xlfn.IFNA(_xlfn.XLOOKUP(B77, LW!B:B, LW!E:E), -1000000000),
  _xlfn.IFNA(_xlfn.XLOOKUP(B77, RW!B:B, RW!E:E), -1000000000),
  _xlfn.IFNA(_xlfn.XLOOKUP(B77, D!B:B,  D!E:E),  -1000000000)
)</f>
        <v>1.7347013666322502</v>
      </c>
    </row>
    <row r="78" spans="2:6" x14ac:dyDescent="0.25">
      <c r="B78" t="s">
        <v>430</v>
      </c>
      <c r="C78" s="17" t="str">
        <f>VLOOKUP(Table4[[#This Row],[Name]],Table1[[Player]:[Status]],4,FALSE)</f>
        <v>Abby</v>
      </c>
      <c r="D78" s="17" t="str">
        <f>VLOOKUP(Table4[[#This Row],[Name]],Table1[[Player]:[FP/G]],3,FALSE)</f>
        <v>D</v>
      </c>
      <c r="E78" s="17">
        <f>VLOOKUP(Table4[[#This Row],[Name]],Table1[[Player]:[Age]],5,FALSE)</f>
        <v>26</v>
      </c>
      <c r="F78" s="10">
        <f>MAX(
  _xlfn.IFNA(_xlfn.XLOOKUP(B78,'C'!B:B,'C'!E:E),  -1000000000),
  _xlfn.IFNA(_xlfn.XLOOKUP(B78, LW!B:B, LW!E:E), -1000000000),
  _xlfn.IFNA(_xlfn.XLOOKUP(B78, RW!B:B, RW!E:E), -1000000000),
  _xlfn.IFNA(_xlfn.XLOOKUP(B78, D!B:B,  D!E:E),  -1000000000)
)</f>
        <v>1.72677989012025</v>
      </c>
    </row>
    <row r="79" spans="2:6" x14ac:dyDescent="0.25">
      <c r="B79" t="s">
        <v>326</v>
      </c>
      <c r="C79" s="17" t="str">
        <f>VLOOKUP(Table4[[#This Row],[Name]],Table1[[Player]:[Status]],4,FALSE)</f>
        <v>Logan</v>
      </c>
      <c r="D79" s="17" t="str">
        <f>VLOOKUP(Table4[[#This Row],[Name]],Table1[[Player]:[FP/G]],3,FALSE)</f>
        <v>C</v>
      </c>
      <c r="E79" s="17">
        <f>VLOOKUP(Table4[[#This Row],[Name]],Table1[[Player]:[Age]],5,FALSE)</f>
        <v>23</v>
      </c>
      <c r="F79" s="10">
        <f>MAX(
  _xlfn.IFNA(_xlfn.XLOOKUP(B79,'C'!B:B,'C'!E:E),  -1000000000),
  _xlfn.IFNA(_xlfn.XLOOKUP(B79, LW!B:B, LW!E:E), -1000000000),
  _xlfn.IFNA(_xlfn.XLOOKUP(B79, RW!B:B, RW!E:E), -1000000000),
  _xlfn.IFNA(_xlfn.XLOOKUP(B79, D!B:B,  D!E:E),  -1000000000)
)</f>
        <v>1.7168102032799597</v>
      </c>
    </row>
    <row r="80" spans="2:6" x14ac:dyDescent="0.25">
      <c r="B80" t="s">
        <v>290</v>
      </c>
      <c r="C80" s="17" t="str">
        <f>VLOOKUP(Table4[[#This Row],[Name]],Table1[[Player]:[Status]],4,FALSE)</f>
        <v>Joel</v>
      </c>
      <c r="D80" s="17" t="str">
        <f>VLOOKUP(Table4[[#This Row],[Name]],Table1[[Player]:[FP/G]],3,FALSE)</f>
        <v>RW</v>
      </c>
      <c r="E80" s="17">
        <f>VLOOKUP(Table4[[#This Row],[Name]],Table1[[Player]:[Age]],5,FALSE)</f>
        <v>23</v>
      </c>
      <c r="F80" s="10">
        <f>MAX(
  _xlfn.IFNA(_xlfn.XLOOKUP(B80,'C'!B:B,'C'!E:E),  -1000000000),
  _xlfn.IFNA(_xlfn.XLOOKUP(B80, LW!B:B, LW!E:E), -1000000000),
  _xlfn.IFNA(_xlfn.XLOOKUP(B80, RW!B:B, RW!E:E), -1000000000),
  _xlfn.IFNA(_xlfn.XLOOKUP(B80, D!B:B,  D!E:E),  -1000000000)
)</f>
        <v>1.7070149451123999</v>
      </c>
    </row>
    <row r="81" spans="2:6" x14ac:dyDescent="0.25">
      <c r="B81" t="s">
        <v>388</v>
      </c>
      <c r="C81" s="17" t="str">
        <f>VLOOKUP(Table4[[#This Row],[Name]],Table1[[Player]:[Status]],4,FALSE)</f>
        <v>Logan</v>
      </c>
      <c r="D81" s="17" t="str">
        <f>VLOOKUP(Table4[[#This Row],[Name]],Table1[[Player]:[FP/G]],3,FALSE)</f>
        <v>D</v>
      </c>
      <c r="E81" s="17">
        <f>VLOOKUP(Table4[[#This Row],[Name]],Table1[[Player]:[Age]],5,FALSE)</f>
        <v>30</v>
      </c>
      <c r="F81" s="10">
        <f>MAX(
  _xlfn.IFNA(_xlfn.XLOOKUP(B81,'C'!B:B,'C'!E:E),  -1000000000),
  _xlfn.IFNA(_xlfn.XLOOKUP(B81, LW!B:B, LW!E:E), -1000000000),
  _xlfn.IFNA(_xlfn.XLOOKUP(B81, RW!B:B, RW!E:E), -1000000000),
  _xlfn.IFNA(_xlfn.XLOOKUP(B81, D!B:B,  D!E:E),  -1000000000)
)</f>
        <v>1.70602557114929</v>
      </c>
    </row>
    <row r="82" spans="2:6" x14ac:dyDescent="0.25">
      <c r="B82" t="s">
        <v>130</v>
      </c>
      <c r="C82" s="17" t="str">
        <f>VLOOKUP(Table4[[#This Row],[Name]],Table1[[Player]:[Status]],4,FALSE)</f>
        <v>Logan</v>
      </c>
      <c r="D82" s="17" t="str">
        <f>VLOOKUP(Table4[[#This Row],[Name]],Table1[[Player]:[FP/G]],3,FALSE)</f>
        <v>C,RW</v>
      </c>
      <c r="E82" s="17">
        <f>VLOOKUP(Table4[[#This Row],[Name]],Table1[[Player]:[Age]],5,FALSE)</f>
        <v>32</v>
      </c>
      <c r="F82" s="10">
        <f>MAX(
  _xlfn.IFNA(_xlfn.XLOOKUP(B82,'C'!B:B,'C'!E:E),  -1000000000),
  _xlfn.IFNA(_xlfn.XLOOKUP(B82, LW!B:B, LW!E:E), -1000000000),
  _xlfn.IFNA(_xlfn.XLOOKUP(B82, RW!B:B, RW!E:E), -1000000000),
  _xlfn.IFNA(_xlfn.XLOOKUP(B82, D!B:B,  D!E:E),  -1000000000)
)</f>
        <v>1.7039048516011297</v>
      </c>
    </row>
    <row r="83" spans="2:6" x14ac:dyDescent="0.25">
      <c r="B83" t="s">
        <v>334</v>
      </c>
      <c r="C83" s="17" t="str">
        <f>VLOOKUP(Table4[[#This Row],[Name]],Table1[[Player]:[Status]],4,FALSE)</f>
        <v>Seth</v>
      </c>
      <c r="D83" s="17" t="str">
        <f>VLOOKUP(Table4[[#This Row],[Name]],Table1[[Player]:[FP/G]],3,FALSE)</f>
        <v>D</v>
      </c>
      <c r="E83" s="17">
        <f>VLOOKUP(Table4[[#This Row],[Name]],Table1[[Player]:[Age]],5,FALSE)</f>
        <v>35</v>
      </c>
      <c r="F83" s="10">
        <f>MAX(
  _xlfn.IFNA(_xlfn.XLOOKUP(B83,'C'!B:B,'C'!E:E),  -1000000000),
  _xlfn.IFNA(_xlfn.XLOOKUP(B83, LW!B:B, LW!E:E), -1000000000),
  _xlfn.IFNA(_xlfn.XLOOKUP(B83, RW!B:B, RW!E:E), -1000000000),
  _xlfn.IFNA(_xlfn.XLOOKUP(B83, D!B:B,  D!E:E),  -1000000000)
)</f>
        <v>1.6893059586589496</v>
      </c>
    </row>
    <row r="84" spans="2:6" x14ac:dyDescent="0.25">
      <c r="B84" t="s">
        <v>15</v>
      </c>
      <c r="C84" s="17" t="str">
        <f>VLOOKUP(Table4[[#This Row],[Name]],Table1[[Player]:[Status]],4,FALSE)</f>
        <v>Adam</v>
      </c>
      <c r="D84" s="17" t="str">
        <f>VLOOKUP(Table4[[#This Row],[Name]],Table1[[Player]:[FP/G]],3,FALSE)</f>
        <v>LW</v>
      </c>
      <c r="E84" s="17">
        <f>VLOOKUP(Table4[[#This Row],[Name]],Table1[[Player]:[Age]],5,FALSE)</f>
        <v>28</v>
      </c>
      <c r="F84" s="10">
        <f>MAX(
  _xlfn.IFNA(_xlfn.XLOOKUP(B84,'C'!B:B,'C'!E:E),  -1000000000),
  _xlfn.IFNA(_xlfn.XLOOKUP(B84, LW!B:B, LW!E:E), -1000000000),
  _xlfn.IFNA(_xlfn.XLOOKUP(B84, RW!B:B, RW!E:E), -1000000000),
  _xlfn.IFNA(_xlfn.XLOOKUP(B84, D!B:B,  D!E:E),  -1000000000)
)</f>
        <v>1.6552187503048401</v>
      </c>
    </row>
    <row r="85" spans="2:6" x14ac:dyDescent="0.25">
      <c r="B85" t="s">
        <v>284</v>
      </c>
      <c r="C85" s="17" t="str">
        <f>VLOOKUP(Table4[[#This Row],[Name]],Table1[[Player]:[Status]],4,FALSE)</f>
        <v>Isaac</v>
      </c>
      <c r="D85" s="17" t="str">
        <f>VLOOKUP(Table4[[#This Row],[Name]],Table1[[Player]:[FP/G]],3,FALSE)</f>
        <v>D</v>
      </c>
      <c r="E85" s="17">
        <f>VLOOKUP(Table4[[#This Row],[Name]],Table1[[Player]:[Age]],5,FALSE)</f>
        <v>38</v>
      </c>
      <c r="F85" s="10">
        <f>MAX(
  _xlfn.IFNA(_xlfn.XLOOKUP(B85,'C'!B:B,'C'!E:E),  -1000000000),
  _xlfn.IFNA(_xlfn.XLOOKUP(B85, LW!B:B, LW!E:E), -1000000000),
  _xlfn.IFNA(_xlfn.XLOOKUP(B85, RW!B:B, RW!E:E), -1000000000),
  _xlfn.IFNA(_xlfn.XLOOKUP(B85, D!B:B,  D!E:E),  -1000000000)
)</f>
        <v>1.6544005776573902</v>
      </c>
    </row>
    <row r="86" spans="2:6" x14ac:dyDescent="0.25">
      <c r="B86" t="s">
        <v>1581</v>
      </c>
      <c r="C86" s="17" t="str">
        <f>VLOOKUP(Table4[[#This Row],[Name]],Table1[[Player]:[Status]],4,FALSE)</f>
        <v>Adam</v>
      </c>
      <c r="D86" s="17" t="str">
        <f>VLOOKUP(Table4[[#This Row],[Name]],Table1[[Player]:[FP/G]],3,FALSE)</f>
        <v>D</v>
      </c>
      <c r="E86" s="17">
        <f>VLOOKUP(Table4[[#This Row],[Name]],Table1[[Player]:[Age]],5,FALSE)</f>
        <v>23</v>
      </c>
      <c r="F86" s="10">
        <f>MAX(
  _xlfn.IFNA(_xlfn.XLOOKUP(B86,'C'!B:B,'C'!E:E),  -1000000000),
  _xlfn.IFNA(_xlfn.XLOOKUP(B86, LW!B:B, LW!E:E), -1000000000),
  _xlfn.IFNA(_xlfn.XLOOKUP(B86, RW!B:B, RW!E:E), -1000000000),
  _xlfn.IFNA(_xlfn.XLOOKUP(B86, D!B:B,  D!E:E),  -1000000000)
)</f>
        <v>1.6499412527278299</v>
      </c>
    </row>
    <row r="87" spans="2:6" x14ac:dyDescent="0.25">
      <c r="B87" t="s">
        <v>83</v>
      </c>
      <c r="C87" s="17" t="str">
        <f>VLOOKUP(Table4[[#This Row],[Name]],Table1[[Player]:[Status]],4,FALSE)</f>
        <v>Adam</v>
      </c>
      <c r="D87" s="17" t="str">
        <f>VLOOKUP(Table4[[#This Row],[Name]],Table1[[Player]:[FP/G]],3,FALSE)</f>
        <v>D</v>
      </c>
      <c r="E87" s="17">
        <f>VLOOKUP(Table4[[#This Row],[Name]],Table1[[Player]:[Age]],5,FALSE)</f>
        <v>35</v>
      </c>
      <c r="F87" s="10">
        <f>MAX(
  _xlfn.IFNA(_xlfn.XLOOKUP(B87,'C'!B:B,'C'!E:E),  -1000000000),
  _xlfn.IFNA(_xlfn.XLOOKUP(B87, LW!B:B, LW!E:E), -1000000000),
  _xlfn.IFNA(_xlfn.XLOOKUP(B87, RW!B:B, RW!E:E), -1000000000),
  _xlfn.IFNA(_xlfn.XLOOKUP(B87, D!B:B,  D!E:E),  -1000000000)
)</f>
        <v>1.6354906645096996</v>
      </c>
    </row>
    <row r="88" spans="2:6" x14ac:dyDescent="0.25">
      <c r="B88" t="s">
        <v>195</v>
      </c>
      <c r="C88" s="17" t="str">
        <f>VLOOKUP(Table4[[#This Row],[Name]],Table1[[Player]:[Status]],4,FALSE)</f>
        <v>Sam</v>
      </c>
      <c r="D88" s="17" t="str">
        <f>VLOOKUP(Table4[[#This Row],[Name]],Table1[[Player]:[FP/G]],3,FALSE)</f>
        <v>D</v>
      </c>
      <c r="E88" s="17">
        <f>VLOOKUP(Table4[[#This Row],[Name]],Table1[[Player]:[Age]],5,FALSE)</f>
        <v>31</v>
      </c>
      <c r="F88" s="10">
        <f>MAX(
  _xlfn.IFNA(_xlfn.XLOOKUP(B88,'C'!B:B,'C'!E:E),  -1000000000),
  _xlfn.IFNA(_xlfn.XLOOKUP(B88, LW!B:B, LW!E:E), -1000000000),
  _xlfn.IFNA(_xlfn.XLOOKUP(B88, RW!B:B, RW!E:E), -1000000000),
  _xlfn.IFNA(_xlfn.XLOOKUP(B88, D!B:B,  D!E:E),  -1000000000)
)</f>
        <v>1.6247481325466797</v>
      </c>
    </row>
    <row r="89" spans="2:6" x14ac:dyDescent="0.25">
      <c r="B89" t="s">
        <v>400</v>
      </c>
      <c r="C89" s="17" t="str">
        <f>VLOOKUP(Table4[[#This Row],[Name]],Table1[[Player]:[Status]],4,FALSE)</f>
        <v>Chris</v>
      </c>
      <c r="D89" s="17" t="str">
        <f>VLOOKUP(Table4[[#This Row],[Name]],Table1[[Player]:[FP/G]],3,FALSE)</f>
        <v>C</v>
      </c>
      <c r="E89" s="17">
        <f>VLOOKUP(Table4[[#This Row],[Name]],Table1[[Player]:[Age]],5,FALSE)</f>
        <v>27</v>
      </c>
      <c r="F89" s="10">
        <f>MAX(
  _xlfn.IFNA(_xlfn.XLOOKUP(B89,'C'!B:B,'C'!E:E),  -1000000000),
  _xlfn.IFNA(_xlfn.XLOOKUP(B89, LW!B:B, LW!E:E), -1000000000),
  _xlfn.IFNA(_xlfn.XLOOKUP(B89, RW!B:B, RW!E:E), -1000000000),
  _xlfn.IFNA(_xlfn.XLOOKUP(B89, D!B:B,  D!E:E),  -1000000000)
)</f>
        <v>1.5919406339275701</v>
      </c>
    </row>
    <row r="90" spans="2:6" x14ac:dyDescent="0.25">
      <c r="B90" t="s">
        <v>229</v>
      </c>
      <c r="C90" s="17" t="str">
        <f>VLOOKUP(Table4[[#This Row],[Name]],Table1[[Player]:[Status]],4,FALSE)</f>
        <v>Abby</v>
      </c>
      <c r="D90" s="17" t="str">
        <f>VLOOKUP(Table4[[#This Row],[Name]],Table1[[Player]:[FP/G]],3,FALSE)</f>
        <v>RW</v>
      </c>
      <c r="E90" s="17">
        <f>VLOOKUP(Table4[[#This Row],[Name]],Table1[[Player]:[Age]],5,FALSE)</f>
        <v>29</v>
      </c>
      <c r="F90" s="10">
        <f>MAX(
  _xlfn.IFNA(_xlfn.XLOOKUP(B90,'C'!B:B,'C'!E:E),  -1000000000),
  _xlfn.IFNA(_xlfn.XLOOKUP(B90, LW!B:B, LW!E:E), -1000000000),
  _xlfn.IFNA(_xlfn.XLOOKUP(B90, RW!B:B, RW!E:E), -1000000000),
  _xlfn.IFNA(_xlfn.XLOOKUP(B90, D!B:B,  D!E:E),  -1000000000)
)</f>
        <v>1.5468376899390606</v>
      </c>
    </row>
    <row r="91" spans="2:6" x14ac:dyDescent="0.25">
      <c r="B91" t="s">
        <v>466</v>
      </c>
      <c r="C91" s="17" t="str">
        <f>VLOOKUP(Table4[[#This Row],[Name]],Table1[[Player]:[Status]],4,FALSE)</f>
        <v>Gary</v>
      </c>
      <c r="D91" s="17" t="str">
        <f>VLOOKUP(Table4[[#This Row],[Name]],Table1[[Player]:[FP/G]],3,FALSE)</f>
        <v>D</v>
      </c>
      <c r="E91" s="17">
        <f>VLOOKUP(Table4[[#This Row],[Name]],Table1[[Player]:[Age]],5,FALSE)</f>
        <v>27</v>
      </c>
      <c r="F91" s="10">
        <f>MAX(
  _xlfn.IFNA(_xlfn.XLOOKUP(B91,'C'!B:B,'C'!E:E),  -1000000000),
  _xlfn.IFNA(_xlfn.XLOOKUP(B91, LW!B:B, LW!E:E), -1000000000),
  _xlfn.IFNA(_xlfn.XLOOKUP(B91, RW!B:B, RW!E:E), -1000000000),
  _xlfn.IFNA(_xlfn.XLOOKUP(B91, D!B:B,  D!E:E),  -1000000000)
)</f>
        <v>1.51507955734023</v>
      </c>
    </row>
    <row r="92" spans="2:6" x14ac:dyDescent="0.25">
      <c r="B92" t="s">
        <v>366</v>
      </c>
      <c r="C92" s="17" t="str">
        <f>VLOOKUP(Table4[[#This Row],[Name]],Table1[[Player]:[Status]],4,FALSE)</f>
        <v>Chris</v>
      </c>
      <c r="D92" s="17" t="str">
        <f>VLOOKUP(Table4[[#This Row],[Name]],Table1[[Player]:[FP/G]],3,FALSE)</f>
        <v>D</v>
      </c>
      <c r="E92" s="17">
        <f>VLOOKUP(Table4[[#This Row],[Name]],Table1[[Player]:[Age]],5,FALSE)</f>
        <v>28</v>
      </c>
      <c r="F92" s="10">
        <f>MAX(
  _xlfn.IFNA(_xlfn.XLOOKUP(B92,'C'!B:B,'C'!E:E),  -1000000000),
  _xlfn.IFNA(_xlfn.XLOOKUP(B92, LW!B:B, LW!E:E), -1000000000),
  _xlfn.IFNA(_xlfn.XLOOKUP(B92, RW!B:B, RW!E:E), -1000000000),
  _xlfn.IFNA(_xlfn.XLOOKUP(B92, D!B:B,  D!E:E),  -1000000000)
)</f>
        <v>1.5148165242130398</v>
      </c>
    </row>
    <row r="93" spans="2:6" x14ac:dyDescent="0.25">
      <c r="B93" t="s">
        <v>422</v>
      </c>
      <c r="C93" s="17" t="str">
        <f>VLOOKUP(Table4[[#This Row],[Name]],Table1[[Player]:[Status]],4,FALSE)</f>
        <v>Gary</v>
      </c>
      <c r="D93" s="17" t="str">
        <f>VLOOKUP(Table4[[#This Row],[Name]],Table1[[Player]:[FP/G]],3,FALSE)</f>
        <v>D</v>
      </c>
      <c r="E93" s="17">
        <f>VLOOKUP(Table4[[#This Row],[Name]],Table1[[Player]:[Age]],5,FALSE)</f>
        <v>29</v>
      </c>
      <c r="F93" s="10">
        <f>MAX(
  _xlfn.IFNA(_xlfn.XLOOKUP(B93,'C'!B:B,'C'!E:E),  -1000000000),
  _xlfn.IFNA(_xlfn.XLOOKUP(B93, LW!B:B, LW!E:E), -1000000000),
  _xlfn.IFNA(_xlfn.XLOOKUP(B93, RW!B:B, RW!E:E), -1000000000),
  _xlfn.IFNA(_xlfn.XLOOKUP(B93, D!B:B,  D!E:E),  -1000000000)
)</f>
        <v>1.4778381931587097</v>
      </c>
    </row>
    <row r="94" spans="2:6" x14ac:dyDescent="0.25">
      <c r="B94" t="s">
        <v>348</v>
      </c>
      <c r="C94" s="17" t="str">
        <f>VLOOKUP(Table4[[#This Row],[Name]],Table1[[Player]:[Status]],4,FALSE)</f>
        <v>Isaac</v>
      </c>
      <c r="D94" s="17" t="str">
        <f>VLOOKUP(Table4[[#This Row],[Name]],Table1[[Player]:[FP/G]],3,FALSE)</f>
        <v>D</v>
      </c>
      <c r="E94" s="17">
        <f>VLOOKUP(Table4[[#This Row],[Name]],Table1[[Player]:[Age]],5,FALSE)</f>
        <v>30</v>
      </c>
      <c r="F94" s="10">
        <f>MAX(
  _xlfn.IFNA(_xlfn.XLOOKUP(B94,'C'!B:B,'C'!E:E),  -1000000000),
  _xlfn.IFNA(_xlfn.XLOOKUP(B94, LW!B:B, LW!E:E), -1000000000),
  _xlfn.IFNA(_xlfn.XLOOKUP(B94, RW!B:B, RW!E:E), -1000000000),
  _xlfn.IFNA(_xlfn.XLOOKUP(B94, D!B:B,  D!E:E),  -1000000000)
)</f>
        <v>1.4439922567026695</v>
      </c>
    </row>
    <row r="95" spans="2:6" x14ac:dyDescent="0.25">
      <c r="B95" t="s">
        <v>93</v>
      </c>
      <c r="C95" s="17" t="str">
        <f>VLOOKUP(Table4[[#This Row],[Name]],Table1[[Player]:[Status]],4,FALSE)</f>
        <v>Isaac</v>
      </c>
      <c r="D95" s="17" t="str">
        <f>VLOOKUP(Table4[[#This Row],[Name]],Table1[[Player]:[FP/G]],3,FALSE)</f>
        <v>C,RW</v>
      </c>
      <c r="E95" s="17">
        <f>VLOOKUP(Table4[[#This Row],[Name]],Table1[[Player]:[Age]],5,FALSE)</f>
        <v>32</v>
      </c>
      <c r="F95" s="10">
        <f>MAX(
  _xlfn.IFNA(_xlfn.XLOOKUP(B95,'C'!B:B,'C'!E:E),  -1000000000),
  _xlfn.IFNA(_xlfn.XLOOKUP(B95, LW!B:B, LW!E:E), -1000000000),
  _xlfn.IFNA(_xlfn.XLOOKUP(B95, RW!B:B, RW!E:E), -1000000000),
  _xlfn.IFNA(_xlfn.XLOOKUP(B95, D!B:B,  D!E:E),  -1000000000)
)</f>
        <v>1.4417457535532296</v>
      </c>
    </row>
    <row r="96" spans="2:6" x14ac:dyDescent="0.25">
      <c r="B96" t="s">
        <v>233</v>
      </c>
      <c r="C96" s="17" t="str">
        <f>VLOOKUP(Table4[[#This Row],[Name]],Table1[[Player]:[Status]],4,FALSE)</f>
        <v>Gary</v>
      </c>
      <c r="D96" s="17" t="str">
        <f>VLOOKUP(Table4[[#This Row],[Name]],Table1[[Player]:[FP/G]],3,FALSE)</f>
        <v>RW</v>
      </c>
      <c r="E96" s="17">
        <f>VLOOKUP(Table4[[#This Row],[Name]],Table1[[Player]:[Age]],5,FALSE)</f>
        <v>31</v>
      </c>
      <c r="F96" s="10">
        <f>MAX(
  _xlfn.IFNA(_xlfn.XLOOKUP(B96,'C'!B:B,'C'!E:E),  -1000000000),
  _xlfn.IFNA(_xlfn.XLOOKUP(B96, LW!B:B, LW!E:E), -1000000000),
  _xlfn.IFNA(_xlfn.XLOOKUP(B96, RW!B:B, RW!E:E), -1000000000),
  _xlfn.IFNA(_xlfn.XLOOKUP(B96, D!B:B,  D!E:E),  -1000000000)
)</f>
        <v>1.4386863626806399</v>
      </c>
    </row>
    <row r="97" spans="2:6" x14ac:dyDescent="0.25">
      <c r="B97" t="s">
        <v>330</v>
      </c>
      <c r="C97" s="17" t="str">
        <f>VLOOKUP(Table4[[#This Row],[Name]],Table1[[Player]:[Status]],4,FALSE)</f>
        <v>Logan</v>
      </c>
      <c r="D97" s="17" t="str">
        <f>VLOOKUP(Table4[[#This Row],[Name]],Table1[[Player]:[FP/G]],3,FALSE)</f>
        <v>RW</v>
      </c>
      <c r="E97" s="17">
        <f>VLOOKUP(Table4[[#This Row],[Name]],Table1[[Player]:[Age]],5,FALSE)</f>
        <v>23</v>
      </c>
      <c r="F97" s="10">
        <f>MAX(
  _xlfn.IFNA(_xlfn.XLOOKUP(B97,'C'!B:B,'C'!E:E),  -1000000000),
  _xlfn.IFNA(_xlfn.XLOOKUP(B97, LW!B:B, LW!E:E), -1000000000),
  _xlfn.IFNA(_xlfn.XLOOKUP(B97, RW!B:B, RW!E:E), -1000000000),
  _xlfn.IFNA(_xlfn.XLOOKUP(B97, D!B:B,  D!E:E),  -1000000000)
)</f>
        <v>1.4329208145500703</v>
      </c>
    </row>
    <row r="98" spans="2:6" x14ac:dyDescent="0.25">
      <c r="B98" t="s">
        <v>252</v>
      </c>
      <c r="C98" s="17" t="str">
        <f>VLOOKUP(Table4[[#This Row],[Name]],Table1[[Player]:[Status]],4,FALSE)</f>
        <v>Gary</v>
      </c>
      <c r="D98" s="17" t="str">
        <f>VLOOKUP(Table4[[#This Row],[Name]],Table1[[Player]:[FP/G]],3,FALSE)</f>
        <v>D</v>
      </c>
      <c r="E98" s="17">
        <f>VLOOKUP(Table4[[#This Row],[Name]],Table1[[Player]:[Age]],5,FALSE)</f>
        <v>31</v>
      </c>
      <c r="F98" s="10">
        <f>MAX(
  _xlfn.IFNA(_xlfn.XLOOKUP(B98,'C'!B:B,'C'!E:E),  -1000000000),
  _xlfn.IFNA(_xlfn.XLOOKUP(B98, LW!B:B, LW!E:E), -1000000000),
  _xlfn.IFNA(_xlfn.XLOOKUP(B98, RW!B:B, RW!E:E), -1000000000),
  _xlfn.IFNA(_xlfn.XLOOKUP(B98, D!B:B,  D!E:E),  -1000000000)
)</f>
        <v>1.4299865954192699</v>
      </c>
    </row>
    <row r="99" spans="2:6" x14ac:dyDescent="0.25">
      <c r="B99" t="s">
        <v>318</v>
      </c>
      <c r="C99" s="17" t="str">
        <f>VLOOKUP(Table4[[#This Row],[Name]],Table1[[Player]:[Status]],4,FALSE)</f>
        <v>Murica</v>
      </c>
      <c r="D99" s="17" t="str">
        <f>VLOOKUP(Table4[[#This Row],[Name]],Table1[[Player]:[FP/G]],3,FALSE)</f>
        <v>C</v>
      </c>
      <c r="E99" s="17">
        <f>VLOOKUP(Table4[[#This Row],[Name]],Table1[[Player]:[Age]],5,FALSE)</f>
        <v>30</v>
      </c>
      <c r="F99" s="10">
        <f>MAX(
  _xlfn.IFNA(_xlfn.XLOOKUP(B99,'C'!B:B,'C'!E:E),  -1000000000),
  _xlfn.IFNA(_xlfn.XLOOKUP(B99, LW!B:B, LW!E:E), -1000000000),
  _xlfn.IFNA(_xlfn.XLOOKUP(B99, RW!B:B, RW!E:E), -1000000000),
  _xlfn.IFNA(_xlfn.XLOOKUP(B99, D!B:B,  D!E:E),  -1000000000)
)</f>
        <v>1.4062898321403097</v>
      </c>
    </row>
    <row r="100" spans="2:6" x14ac:dyDescent="0.25">
      <c r="B100" t="s">
        <v>74</v>
      </c>
      <c r="C100" s="17" t="str">
        <f>VLOOKUP(Table4[[#This Row],[Name]],Table1[[Player]:[Status]],4,FALSE)</f>
        <v>Shannon</v>
      </c>
      <c r="D100" s="17" t="str">
        <f>VLOOKUP(Table4[[#This Row],[Name]],Table1[[Player]:[FP/G]],3,FALSE)</f>
        <v>LW,RW</v>
      </c>
      <c r="E100" s="17">
        <f>VLOOKUP(Table4[[#This Row],[Name]],Table1[[Player]:[Age]],5,FALSE)</f>
        <v>28</v>
      </c>
      <c r="F100" s="10">
        <f>MAX(
  _xlfn.IFNA(_xlfn.XLOOKUP(B100,'C'!B:B,'C'!E:E),  -1000000000),
  _xlfn.IFNA(_xlfn.XLOOKUP(B100, LW!B:B, LW!E:E), -1000000000),
  _xlfn.IFNA(_xlfn.XLOOKUP(B100, RW!B:B, RW!E:E), -1000000000),
  _xlfn.IFNA(_xlfn.XLOOKUP(B100, D!B:B,  D!E:E),  -1000000000)
)</f>
        <v>1.3933504664565604</v>
      </c>
    </row>
    <row r="101" spans="2:6" x14ac:dyDescent="0.25">
      <c r="B101" t="s">
        <v>149</v>
      </c>
      <c r="C101" s="17" t="str">
        <f>VLOOKUP(Table4[[#This Row],[Name]],Table1[[Player]:[Status]],4,FALSE)</f>
        <v>Joel</v>
      </c>
      <c r="D101" s="17" t="str">
        <f>VLOOKUP(Table4[[#This Row],[Name]],Table1[[Player]:[FP/G]],3,FALSE)</f>
        <v>RW</v>
      </c>
      <c r="E101" s="17">
        <f>VLOOKUP(Table4[[#This Row],[Name]],Table1[[Player]:[Age]],5,FALSE)</f>
        <v>28</v>
      </c>
      <c r="F101" s="10">
        <f>MAX(
  _xlfn.IFNA(_xlfn.XLOOKUP(B101,'C'!B:B,'C'!E:E),  -1000000000),
  _xlfn.IFNA(_xlfn.XLOOKUP(B101, LW!B:B, LW!E:E), -1000000000),
  _xlfn.IFNA(_xlfn.XLOOKUP(B101, RW!B:B, RW!E:E), -1000000000),
  _xlfn.IFNA(_xlfn.XLOOKUP(B101, D!B:B,  D!E:E),  -1000000000)
)</f>
        <v>1.3764637000712403</v>
      </c>
    </row>
    <row r="102" spans="2:6" x14ac:dyDescent="0.25">
      <c r="B102" t="s">
        <v>364</v>
      </c>
      <c r="C102" s="17" t="str">
        <f>VLOOKUP(Table4[[#This Row],[Name]],Table1[[Player]:[Status]],4,FALSE)</f>
        <v>Logan</v>
      </c>
      <c r="D102" s="17" t="str">
        <f>VLOOKUP(Table4[[#This Row],[Name]],Table1[[Player]:[FP/G]],3,FALSE)</f>
        <v>D</v>
      </c>
      <c r="E102" s="17">
        <f>VLOOKUP(Table4[[#This Row],[Name]],Table1[[Player]:[Age]],5,FALSE)</f>
        <v>35</v>
      </c>
      <c r="F102" s="10">
        <f>MAX(
  _xlfn.IFNA(_xlfn.XLOOKUP(B102,'C'!B:B,'C'!E:E),  -1000000000),
  _xlfn.IFNA(_xlfn.XLOOKUP(B102, LW!B:B, LW!E:E), -1000000000),
  _xlfn.IFNA(_xlfn.XLOOKUP(B102, RW!B:B, RW!E:E), -1000000000),
  _xlfn.IFNA(_xlfn.XLOOKUP(B102, D!B:B,  D!E:E),  -1000000000)
)</f>
        <v>1.3693619994594597</v>
      </c>
    </row>
    <row r="103" spans="2:6" x14ac:dyDescent="0.25">
      <c r="B103" t="s">
        <v>178</v>
      </c>
      <c r="C103" s="17" t="str">
        <f>VLOOKUP(Table4[[#This Row],[Name]],Table1[[Player]:[Status]],4,FALSE)</f>
        <v>Isaac</v>
      </c>
      <c r="D103" s="17" t="str">
        <f>VLOOKUP(Table4[[#This Row],[Name]],Table1[[Player]:[FP/G]],3,FALSE)</f>
        <v>RW</v>
      </c>
      <c r="E103" s="17">
        <f>VLOOKUP(Table4[[#This Row],[Name]],Table1[[Player]:[Age]],5,FALSE)</f>
        <v>33</v>
      </c>
      <c r="F103" s="10">
        <f>MAX(
  _xlfn.IFNA(_xlfn.XLOOKUP(B103,'C'!B:B,'C'!E:E),  -1000000000),
  _xlfn.IFNA(_xlfn.XLOOKUP(B103, LW!B:B, LW!E:E), -1000000000),
  _xlfn.IFNA(_xlfn.XLOOKUP(B103, RW!B:B, RW!E:E), -1000000000),
  _xlfn.IFNA(_xlfn.XLOOKUP(B103, D!B:B,  D!E:E),  -1000000000)
)</f>
        <v>1.3643112133505397</v>
      </c>
    </row>
    <row r="104" spans="2:6" x14ac:dyDescent="0.25">
      <c r="B104" t="s">
        <v>159</v>
      </c>
      <c r="C104" s="17" t="str">
        <f>VLOOKUP(Table4[[#This Row],[Name]],Table1[[Player]:[Status]],4,FALSE)</f>
        <v>Seth</v>
      </c>
      <c r="D104" s="17" t="str">
        <f>VLOOKUP(Table4[[#This Row],[Name]],Table1[[Player]:[FP/G]],3,FALSE)</f>
        <v>C</v>
      </c>
      <c r="E104" s="17">
        <f>VLOOKUP(Table4[[#This Row],[Name]],Table1[[Player]:[Age]],5,FALSE)</f>
        <v>32</v>
      </c>
      <c r="F104" s="10">
        <f>MAX(
  _xlfn.IFNA(_xlfn.XLOOKUP(B104,'C'!B:B,'C'!E:E),  -1000000000),
  _xlfn.IFNA(_xlfn.XLOOKUP(B104, LW!B:B, LW!E:E), -1000000000),
  _xlfn.IFNA(_xlfn.XLOOKUP(B104, RW!B:B, RW!E:E), -1000000000),
  _xlfn.IFNA(_xlfn.XLOOKUP(B104, D!B:B,  D!E:E),  -1000000000)
)</f>
        <v>1.3536668955899298</v>
      </c>
    </row>
    <row r="105" spans="2:6" x14ac:dyDescent="0.25">
      <c r="B105" t="s">
        <v>71</v>
      </c>
      <c r="C105" s="17" t="str">
        <f>VLOOKUP(Table4[[#This Row],[Name]],Table1[[Player]:[Status]],4,FALSE)</f>
        <v>Isaac</v>
      </c>
      <c r="D105" s="17" t="str">
        <f>VLOOKUP(Table4[[#This Row],[Name]],Table1[[Player]:[FP/G]],3,FALSE)</f>
        <v>C</v>
      </c>
      <c r="E105" s="17">
        <f>VLOOKUP(Table4[[#This Row],[Name]],Table1[[Player]:[Age]],5,FALSE)</f>
        <v>30</v>
      </c>
      <c r="F105" s="10">
        <f>MAX(
  _xlfn.IFNA(_xlfn.XLOOKUP(B105,'C'!B:B,'C'!E:E),  -1000000000),
  _xlfn.IFNA(_xlfn.XLOOKUP(B105, LW!B:B, LW!E:E), -1000000000),
  _xlfn.IFNA(_xlfn.XLOOKUP(B105, RW!B:B, RW!E:E), -1000000000),
  _xlfn.IFNA(_xlfn.XLOOKUP(B105, D!B:B,  D!E:E),  -1000000000)
)</f>
        <v>1.3315364386576993</v>
      </c>
    </row>
    <row r="106" spans="2:6" x14ac:dyDescent="0.25">
      <c r="B106" t="s">
        <v>231</v>
      </c>
      <c r="C106" s="17" t="str">
        <f>VLOOKUP(Table4[[#This Row],[Name]],Table1[[Player]:[Status]],4,FALSE)</f>
        <v>Isaac</v>
      </c>
      <c r="D106" s="17" t="str">
        <f>VLOOKUP(Table4[[#This Row],[Name]],Table1[[Player]:[FP/G]],3,FALSE)</f>
        <v>C</v>
      </c>
      <c r="E106" s="17">
        <f>VLOOKUP(Table4[[#This Row],[Name]],Table1[[Player]:[Age]],5,FALSE)</f>
        <v>29</v>
      </c>
      <c r="F106" s="10">
        <f>MAX(
  _xlfn.IFNA(_xlfn.XLOOKUP(B106,'C'!B:B,'C'!E:E),  -1000000000),
  _xlfn.IFNA(_xlfn.XLOOKUP(B106, LW!B:B, LW!E:E), -1000000000),
  _xlfn.IFNA(_xlfn.XLOOKUP(B106, RW!B:B, RW!E:E), -1000000000),
  _xlfn.IFNA(_xlfn.XLOOKUP(B106, D!B:B,  D!E:E),  -1000000000)
)</f>
        <v>1.3205278789444499</v>
      </c>
    </row>
    <row r="107" spans="2:6" x14ac:dyDescent="0.25">
      <c r="B107" t="s">
        <v>316</v>
      </c>
      <c r="C107" s="17" t="str">
        <f>VLOOKUP(Table4[[#This Row],[Name]],Table1[[Player]:[Status]],4,FALSE)</f>
        <v>Isaac</v>
      </c>
      <c r="D107" s="17" t="str">
        <f>VLOOKUP(Table4[[#This Row],[Name]],Table1[[Player]:[FP/G]],3,FALSE)</f>
        <v>D</v>
      </c>
      <c r="E107" s="17">
        <f>VLOOKUP(Table4[[#This Row],[Name]],Table1[[Player]:[Age]],5,FALSE)</f>
        <v>35</v>
      </c>
      <c r="F107" s="10">
        <f>MAX(
  _xlfn.IFNA(_xlfn.XLOOKUP(B107,'C'!B:B,'C'!E:E),  -1000000000),
  _xlfn.IFNA(_xlfn.XLOOKUP(B107, LW!B:B, LW!E:E), -1000000000),
  _xlfn.IFNA(_xlfn.XLOOKUP(B107, RW!B:B, RW!E:E), -1000000000),
  _xlfn.IFNA(_xlfn.XLOOKUP(B107, D!B:B,  D!E:E),  -1000000000)
)</f>
        <v>1.3032217096281302</v>
      </c>
    </row>
    <row r="108" spans="2:6" x14ac:dyDescent="0.25">
      <c r="B108" t="s">
        <v>296</v>
      </c>
      <c r="C108" s="17" t="str">
        <f>VLOOKUP(Table4[[#This Row],[Name]],Table1[[Player]:[Status]],4,FALSE)</f>
        <v>Sam</v>
      </c>
      <c r="D108" s="17" t="str">
        <f>VLOOKUP(Table4[[#This Row],[Name]],Table1[[Player]:[FP/G]],3,FALSE)</f>
        <v>D</v>
      </c>
      <c r="E108" s="17">
        <f>VLOOKUP(Table4[[#This Row],[Name]],Table1[[Player]:[Age]],5,FALSE)</f>
        <v>31</v>
      </c>
      <c r="F108" s="10">
        <f>MAX(
  _xlfn.IFNA(_xlfn.XLOOKUP(B108,'C'!B:B,'C'!E:E),  -1000000000),
  _xlfn.IFNA(_xlfn.XLOOKUP(B108, LW!B:B, LW!E:E), -1000000000),
  _xlfn.IFNA(_xlfn.XLOOKUP(B108, RW!B:B, RW!E:E), -1000000000),
  _xlfn.IFNA(_xlfn.XLOOKUP(B108, D!B:B,  D!E:E),  -1000000000)
)</f>
        <v>1.2990606688563897</v>
      </c>
    </row>
    <row r="109" spans="2:6" x14ac:dyDescent="0.25">
      <c r="B109" t="s">
        <v>482</v>
      </c>
      <c r="C109" s="17" t="str">
        <f>VLOOKUP(Table4[[#This Row],[Name]],Table1[[Player]:[Status]],4,FALSE)</f>
        <v>Shannon</v>
      </c>
      <c r="D109" s="17" t="str">
        <f>VLOOKUP(Table4[[#This Row],[Name]],Table1[[Player]:[FP/G]],3,FALSE)</f>
        <v>D</v>
      </c>
      <c r="E109" s="17">
        <f>VLOOKUP(Table4[[#This Row],[Name]],Table1[[Player]:[Age]],5,FALSE)</f>
        <v>28</v>
      </c>
      <c r="F109" s="10">
        <f>MAX(
  _xlfn.IFNA(_xlfn.XLOOKUP(B109,'C'!B:B,'C'!E:E),  -1000000000),
  _xlfn.IFNA(_xlfn.XLOOKUP(B109, LW!B:B, LW!E:E), -1000000000),
  _xlfn.IFNA(_xlfn.XLOOKUP(B109, RW!B:B, RW!E:E), -1000000000),
  _xlfn.IFNA(_xlfn.XLOOKUP(B109, D!B:B,  D!E:E),  -1000000000)
)</f>
        <v>1.2732668290993701</v>
      </c>
    </row>
    <row r="110" spans="2:6" x14ac:dyDescent="0.25">
      <c r="B110" t="s">
        <v>302</v>
      </c>
      <c r="C110" s="17" t="str">
        <f>VLOOKUP(Table4[[#This Row],[Name]],Table1[[Player]:[Status]],4,FALSE)</f>
        <v>Abby</v>
      </c>
      <c r="D110" s="17" t="str">
        <f>VLOOKUP(Table4[[#This Row],[Name]],Table1[[Player]:[FP/G]],3,FALSE)</f>
        <v>D</v>
      </c>
      <c r="E110" s="17">
        <f>VLOOKUP(Table4[[#This Row],[Name]],Table1[[Player]:[Age]],5,FALSE)</f>
        <v>28</v>
      </c>
      <c r="F110" s="10">
        <f>MAX(
  _xlfn.IFNA(_xlfn.XLOOKUP(B110,'C'!B:B,'C'!E:E),  -1000000000),
  _xlfn.IFNA(_xlfn.XLOOKUP(B110, LW!B:B, LW!E:E), -1000000000),
  _xlfn.IFNA(_xlfn.XLOOKUP(B110, RW!B:B, RW!E:E), -1000000000),
  _xlfn.IFNA(_xlfn.XLOOKUP(B110, D!B:B,  D!E:E),  -1000000000)
)</f>
        <v>1.2572442144960094</v>
      </c>
    </row>
    <row r="111" spans="2:6" x14ac:dyDescent="0.25">
      <c r="B111" t="s">
        <v>123</v>
      </c>
      <c r="C111" s="17" t="str">
        <f>VLOOKUP(Table4[[#This Row],[Name]],Table1[[Player]:[Status]],4,FALSE)</f>
        <v>Shannon</v>
      </c>
      <c r="D111" s="17" t="str">
        <f>VLOOKUP(Table4[[#This Row],[Name]],Table1[[Player]:[FP/G]],3,FALSE)</f>
        <v>LW</v>
      </c>
      <c r="E111" s="17">
        <f>VLOOKUP(Table4[[#This Row],[Name]],Table1[[Player]:[Age]],5,FALSE)</f>
        <v>30</v>
      </c>
      <c r="F111" s="10">
        <f>MAX(
  _xlfn.IFNA(_xlfn.XLOOKUP(B111,'C'!B:B,'C'!E:E),  -1000000000),
  _xlfn.IFNA(_xlfn.XLOOKUP(B111, LW!B:B, LW!E:E), -1000000000),
  _xlfn.IFNA(_xlfn.XLOOKUP(B111, RW!B:B, RW!E:E), -1000000000),
  _xlfn.IFNA(_xlfn.XLOOKUP(B111, D!B:B,  D!E:E),  -1000000000)
)</f>
        <v>1.2517303504187005</v>
      </c>
    </row>
    <row r="112" spans="2:6" x14ac:dyDescent="0.25">
      <c r="B112" t="s">
        <v>468</v>
      </c>
      <c r="C112" s="17" t="str">
        <f>VLOOKUP(Table4[[#This Row],[Name]],Table1[[Player]:[Status]],4,FALSE)</f>
        <v>Murica</v>
      </c>
      <c r="D112" s="17" t="str">
        <f>VLOOKUP(Table4[[#This Row],[Name]],Table1[[Player]:[FP/G]],3,FALSE)</f>
        <v>D</v>
      </c>
      <c r="E112" s="17">
        <f>VLOOKUP(Table4[[#This Row],[Name]],Table1[[Player]:[Age]],5,FALSE)</f>
        <v>29</v>
      </c>
      <c r="F112" s="10">
        <f>MAX(
  _xlfn.IFNA(_xlfn.XLOOKUP(B112,'C'!B:B,'C'!E:E),  -1000000000),
  _xlfn.IFNA(_xlfn.XLOOKUP(B112, LW!B:B, LW!E:E), -1000000000),
  _xlfn.IFNA(_xlfn.XLOOKUP(B112, RW!B:B, RW!E:E), -1000000000),
  _xlfn.IFNA(_xlfn.XLOOKUP(B112, D!B:B,  D!E:E),  -1000000000)
)</f>
        <v>1.2236533863321402</v>
      </c>
    </row>
    <row r="113" spans="2:6" x14ac:dyDescent="0.25">
      <c r="B113" t="s">
        <v>1582</v>
      </c>
      <c r="C113" s="17" t="str">
        <f>VLOOKUP(Table4[[#This Row],[Name]],Table1[[Player]:[Status]],4,FALSE)</f>
        <v>Adam</v>
      </c>
      <c r="D113" s="17" t="str">
        <f>VLOOKUP(Table4[[#This Row],[Name]],Table1[[Player]:[FP/G]],3,FALSE)</f>
        <v>RW</v>
      </c>
      <c r="E113" s="17">
        <f>VLOOKUP(Table4[[#This Row],[Name]],Table1[[Player]:[Age]],5,FALSE)</f>
        <v>22</v>
      </c>
      <c r="F113" s="10">
        <f>MAX(
  _xlfn.IFNA(_xlfn.XLOOKUP(B113,'C'!B:B,'C'!E:E),  -1000000000),
  _xlfn.IFNA(_xlfn.XLOOKUP(B113, LW!B:B, LW!E:E), -1000000000),
  _xlfn.IFNA(_xlfn.XLOOKUP(B113, RW!B:B, RW!E:E), -1000000000),
  _xlfn.IFNA(_xlfn.XLOOKUP(B113, D!B:B,  D!E:E),  -1000000000)
)</f>
        <v>1.2191719634066898</v>
      </c>
    </row>
    <row r="114" spans="2:6" x14ac:dyDescent="0.25">
      <c r="B114" t="s">
        <v>402</v>
      </c>
      <c r="C114" s="17" t="str">
        <f>VLOOKUP(Table4[[#This Row],[Name]],Table1[[Player]:[Status]],4,FALSE)</f>
        <v>Daniel</v>
      </c>
      <c r="D114" s="17" t="str">
        <f>VLOOKUP(Table4[[#This Row],[Name]],Table1[[Player]:[FP/G]],3,FALSE)</f>
        <v>D</v>
      </c>
      <c r="E114" s="17">
        <f>VLOOKUP(Table4[[#This Row],[Name]],Table1[[Player]:[Age]],5,FALSE)</f>
        <v>33</v>
      </c>
      <c r="F114" s="10">
        <f>MAX(
  _xlfn.IFNA(_xlfn.XLOOKUP(B114,'C'!B:B,'C'!E:E),  -1000000000),
  _xlfn.IFNA(_xlfn.XLOOKUP(B114, LW!B:B, LW!E:E), -1000000000),
  _xlfn.IFNA(_xlfn.XLOOKUP(B114, RW!B:B, RW!E:E), -1000000000),
  _xlfn.IFNA(_xlfn.XLOOKUP(B114, D!B:B,  D!E:E),  -1000000000)
)</f>
        <v>1.1840392212464002</v>
      </c>
    </row>
    <row r="115" spans="2:6" x14ac:dyDescent="0.25">
      <c r="B115" t="s">
        <v>1591</v>
      </c>
      <c r="C115" s="17" t="str">
        <f>VLOOKUP(Table4[[#This Row],[Name]],Table1[[Player]:[Status]],4,FALSE)</f>
        <v>Shannon</v>
      </c>
      <c r="D115" s="17" t="str">
        <f>VLOOKUP(Table4[[#This Row],[Name]],Table1[[Player]:[FP/G]],3,FALSE)</f>
        <v>D</v>
      </c>
      <c r="E115" s="17">
        <f>VLOOKUP(Table4[[#This Row],[Name]],Table1[[Player]:[Age]],5,FALSE)</f>
        <v>31</v>
      </c>
      <c r="F115" s="10">
        <f>MAX(
  _xlfn.IFNA(_xlfn.XLOOKUP(B115,'C'!B:B,'C'!E:E),  -1000000000),
  _xlfn.IFNA(_xlfn.XLOOKUP(B115, LW!B:B, LW!E:E), -1000000000),
  _xlfn.IFNA(_xlfn.XLOOKUP(B115, RW!B:B, RW!E:E), -1000000000),
  _xlfn.IFNA(_xlfn.XLOOKUP(B115, D!B:B,  D!E:E),  -1000000000)
)</f>
        <v>1.1671533915614702</v>
      </c>
    </row>
    <row r="116" spans="2:6" x14ac:dyDescent="0.25">
      <c r="B116" t="s">
        <v>386</v>
      </c>
      <c r="C116" s="17" t="str">
        <f>VLOOKUP(Table4[[#This Row],[Name]],Table1[[Player]:[Status]],4,FALSE)</f>
        <v>Sam</v>
      </c>
      <c r="D116" s="17" t="str">
        <f>VLOOKUP(Table4[[#This Row],[Name]],Table1[[Player]:[FP/G]],3,FALSE)</f>
        <v>D</v>
      </c>
      <c r="E116" s="17">
        <f>VLOOKUP(Table4[[#This Row],[Name]],Table1[[Player]:[Age]],5,FALSE)</f>
        <v>31</v>
      </c>
      <c r="F116" s="10">
        <f>MAX(
  _xlfn.IFNA(_xlfn.XLOOKUP(B116,'C'!B:B,'C'!E:E),  -1000000000),
  _xlfn.IFNA(_xlfn.XLOOKUP(B116, LW!B:B, LW!E:E), -1000000000),
  _xlfn.IFNA(_xlfn.XLOOKUP(B116, RW!B:B, RW!E:E), -1000000000),
  _xlfn.IFNA(_xlfn.XLOOKUP(B116, D!B:B,  D!E:E),  -1000000000)
)</f>
        <v>1.1155150774594</v>
      </c>
    </row>
    <row r="117" spans="2:6" x14ac:dyDescent="0.25">
      <c r="B117" t="s">
        <v>324</v>
      </c>
      <c r="C117" s="17" t="str">
        <f>VLOOKUP(Table4[[#This Row],[Name]],Table1[[Player]:[Status]],4,FALSE)</f>
        <v>Nate</v>
      </c>
      <c r="D117" s="17" t="str">
        <f>VLOOKUP(Table4[[#This Row],[Name]],Table1[[Player]:[FP/G]],3,FALSE)</f>
        <v>LW</v>
      </c>
      <c r="E117" s="17">
        <f>VLOOKUP(Table4[[#This Row],[Name]],Table1[[Player]:[Age]],5,FALSE)</f>
        <v>23</v>
      </c>
      <c r="F117" s="10">
        <f>MAX(
  _xlfn.IFNA(_xlfn.XLOOKUP(B117,'C'!B:B,'C'!E:E),  -1000000000),
  _xlfn.IFNA(_xlfn.XLOOKUP(B117, LW!B:B, LW!E:E), -1000000000),
  _xlfn.IFNA(_xlfn.XLOOKUP(B117, RW!B:B, RW!E:E), -1000000000),
  _xlfn.IFNA(_xlfn.XLOOKUP(B117, D!B:B,  D!E:E),  -1000000000)
)</f>
        <v>1.1117610552814803</v>
      </c>
    </row>
    <row r="118" spans="2:6" x14ac:dyDescent="0.25">
      <c r="B118" t="s">
        <v>476</v>
      </c>
      <c r="C118" s="17" t="str">
        <f>VLOOKUP(Table4[[#This Row],[Name]],Table1[[Player]:[Status]],4,FALSE)</f>
        <v>W &lt;small&gt;(Mon)&lt;/small&gt;</v>
      </c>
      <c r="D118" s="17" t="str">
        <f>VLOOKUP(Table4[[#This Row],[Name]],Table1[[Player]:[FP/G]],3,FALSE)</f>
        <v>D</v>
      </c>
      <c r="E118" s="17">
        <f>VLOOKUP(Table4[[#This Row],[Name]],Table1[[Player]:[Age]],5,FALSE)</f>
        <v>34</v>
      </c>
      <c r="F118" s="10">
        <f>MAX(
  _xlfn.IFNA(_xlfn.XLOOKUP(B118,'C'!B:B,'C'!E:E),  -1000000000),
  _xlfn.IFNA(_xlfn.XLOOKUP(B118, LW!B:B, LW!E:E), -1000000000),
  _xlfn.IFNA(_xlfn.XLOOKUP(B118, RW!B:B, RW!E:E), -1000000000),
  _xlfn.IFNA(_xlfn.XLOOKUP(B118, D!B:B,  D!E:E),  -1000000000)
)</f>
        <v>1.0587412743896696</v>
      </c>
    </row>
    <row r="119" spans="2:6" x14ac:dyDescent="0.25">
      <c r="B119" t="s">
        <v>352</v>
      </c>
      <c r="C119" s="17" t="str">
        <f>VLOOKUP(Table4[[#This Row],[Name]],Table1[[Player]:[Status]],4,FALSE)</f>
        <v>Chris</v>
      </c>
      <c r="D119" s="17" t="str">
        <f>VLOOKUP(Table4[[#This Row],[Name]],Table1[[Player]:[FP/G]],3,FALSE)</f>
        <v>C,LW</v>
      </c>
      <c r="E119" s="17">
        <f>VLOOKUP(Table4[[#This Row],[Name]],Table1[[Player]:[Age]],5,FALSE)</f>
        <v>23</v>
      </c>
      <c r="F119" s="10">
        <f>MAX(
  _xlfn.IFNA(_xlfn.XLOOKUP(B119,'C'!B:B,'C'!E:E),  -1000000000),
  _xlfn.IFNA(_xlfn.XLOOKUP(B119, LW!B:B, LW!E:E), -1000000000),
  _xlfn.IFNA(_xlfn.XLOOKUP(B119, RW!B:B, RW!E:E), -1000000000),
  _xlfn.IFNA(_xlfn.XLOOKUP(B119, D!B:B,  D!E:E),  -1000000000)
)</f>
        <v>1.0252203415504093</v>
      </c>
    </row>
    <row r="120" spans="2:6" x14ac:dyDescent="0.25">
      <c r="B120" t="s">
        <v>346</v>
      </c>
      <c r="C120" s="17" t="str">
        <f>VLOOKUP(Table4[[#This Row],[Name]],Table1[[Player]:[Status]],4,FALSE)</f>
        <v>Nate</v>
      </c>
      <c r="D120" s="17" t="str">
        <f>VLOOKUP(Table4[[#This Row],[Name]],Table1[[Player]:[FP/G]],3,FALSE)</f>
        <v>RW</v>
      </c>
      <c r="E120" s="17">
        <f>VLOOKUP(Table4[[#This Row],[Name]],Table1[[Player]:[Age]],5,FALSE)</f>
        <v>26</v>
      </c>
      <c r="F120" s="10">
        <f>MAX(
  _xlfn.IFNA(_xlfn.XLOOKUP(B120,'C'!B:B,'C'!E:E),  -1000000000),
  _xlfn.IFNA(_xlfn.XLOOKUP(B120, LW!B:B, LW!E:E), -1000000000),
  _xlfn.IFNA(_xlfn.XLOOKUP(B120, RW!B:B, RW!E:E), -1000000000),
  _xlfn.IFNA(_xlfn.XLOOKUP(B120, D!B:B,  D!E:E),  -1000000000)
)</f>
        <v>1.0237995887186297</v>
      </c>
    </row>
    <row r="121" spans="2:6" x14ac:dyDescent="0.25">
      <c r="B121" t="s">
        <v>176</v>
      </c>
      <c r="C121" s="17" t="str">
        <f>VLOOKUP(Table4[[#This Row],[Name]],Table1[[Player]:[Status]],4,FALSE)</f>
        <v>Adam</v>
      </c>
      <c r="D121" s="17" t="str">
        <f>VLOOKUP(Table4[[#This Row],[Name]],Table1[[Player]:[FP/G]],3,FALSE)</f>
        <v>RW</v>
      </c>
      <c r="E121" s="17">
        <f>VLOOKUP(Table4[[#This Row],[Name]],Table1[[Player]:[Age]],5,FALSE)</f>
        <v>38</v>
      </c>
      <c r="F121" s="10">
        <f>MAX(
  _xlfn.IFNA(_xlfn.XLOOKUP(B121,'C'!B:B,'C'!E:E),  -1000000000),
  _xlfn.IFNA(_xlfn.XLOOKUP(B121, LW!B:B, LW!E:E), -1000000000),
  _xlfn.IFNA(_xlfn.XLOOKUP(B121, RW!B:B, RW!E:E), -1000000000),
  _xlfn.IFNA(_xlfn.XLOOKUP(B121, D!B:B,  D!E:E),  -1000000000)
)</f>
        <v>0.99172647249949009</v>
      </c>
    </row>
    <row r="122" spans="2:6" x14ac:dyDescent="0.25">
      <c r="B122" t="s">
        <v>145</v>
      </c>
      <c r="C122" s="17" t="str">
        <f>VLOOKUP(Table4[[#This Row],[Name]],Table1[[Player]:[Status]],4,FALSE)</f>
        <v>Chris</v>
      </c>
      <c r="D122" s="17" t="str">
        <f>VLOOKUP(Table4[[#This Row],[Name]],Table1[[Player]:[FP/G]],3,FALSE)</f>
        <v>C</v>
      </c>
      <c r="E122" s="17">
        <f>VLOOKUP(Table4[[#This Row],[Name]],Table1[[Player]:[Age]],5,FALSE)</f>
        <v>33</v>
      </c>
      <c r="F122" s="10">
        <f>MAX(
  _xlfn.IFNA(_xlfn.XLOOKUP(B122,'C'!B:B,'C'!E:E),  -1000000000),
  _xlfn.IFNA(_xlfn.XLOOKUP(B122, LW!B:B, LW!E:E), -1000000000),
  _xlfn.IFNA(_xlfn.XLOOKUP(B122, RW!B:B, RW!E:E), -1000000000),
  _xlfn.IFNA(_xlfn.XLOOKUP(B122, D!B:B,  D!E:E),  -1000000000)
)</f>
        <v>0.98643418906002989</v>
      </c>
    </row>
    <row r="123" spans="2:6" x14ac:dyDescent="0.25">
      <c r="B123" t="s">
        <v>183</v>
      </c>
      <c r="C123" s="17" t="str">
        <f>VLOOKUP(Table4[[#This Row],[Name]],Table1[[Player]:[Status]],4,FALSE)</f>
        <v>Logan</v>
      </c>
      <c r="D123" s="17" t="str">
        <f>VLOOKUP(Table4[[#This Row],[Name]],Table1[[Player]:[FP/G]],3,FALSE)</f>
        <v>RW</v>
      </c>
      <c r="E123" s="17">
        <f>VLOOKUP(Table4[[#This Row],[Name]],Table1[[Player]:[Age]],5,FALSE)</f>
        <v>36</v>
      </c>
      <c r="F123" s="10">
        <f>MAX(
  _xlfn.IFNA(_xlfn.XLOOKUP(B123,'C'!B:B,'C'!E:E),  -1000000000),
  _xlfn.IFNA(_xlfn.XLOOKUP(B123, LW!B:B, LW!E:E), -1000000000),
  _xlfn.IFNA(_xlfn.XLOOKUP(B123, RW!B:B, RW!E:E), -1000000000),
  _xlfn.IFNA(_xlfn.XLOOKUP(B123, D!B:B,  D!E:E),  -1000000000)
)</f>
        <v>0.98121741068698043</v>
      </c>
    </row>
    <row r="124" spans="2:6" x14ac:dyDescent="0.25">
      <c r="B124" t="s">
        <v>143</v>
      </c>
      <c r="C124" s="17" t="str">
        <f>VLOOKUP(Table4[[#This Row],[Name]],Table1[[Player]:[Status]],4,FALSE)</f>
        <v>Joel</v>
      </c>
      <c r="D124" s="17" t="str">
        <f>VLOOKUP(Table4[[#This Row],[Name]],Table1[[Player]:[FP/G]],3,FALSE)</f>
        <v>RW</v>
      </c>
      <c r="E124" s="17">
        <f>VLOOKUP(Table4[[#This Row],[Name]],Table1[[Player]:[Age]],5,FALSE)</f>
        <v>28</v>
      </c>
      <c r="F124" s="10">
        <f>MAX(
  _xlfn.IFNA(_xlfn.XLOOKUP(B124,'C'!B:B,'C'!E:E),  -1000000000),
  _xlfn.IFNA(_xlfn.XLOOKUP(B124, LW!B:B, LW!E:E), -1000000000),
  _xlfn.IFNA(_xlfn.XLOOKUP(B124, RW!B:B, RW!E:E), -1000000000),
  _xlfn.IFNA(_xlfn.XLOOKUP(B124, D!B:B,  D!E:E),  -1000000000)
)</f>
        <v>0.9780303142291098</v>
      </c>
    </row>
    <row r="125" spans="2:6" x14ac:dyDescent="0.25">
      <c r="B125" t="s">
        <v>276</v>
      </c>
      <c r="C125" s="17" t="str">
        <f>VLOOKUP(Table4[[#This Row],[Name]],Table1[[Player]:[Status]],4,FALSE)</f>
        <v>Isaac</v>
      </c>
      <c r="D125" s="17" t="str">
        <f>VLOOKUP(Table4[[#This Row],[Name]],Table1[[Player]:[FP/G]],3,FALSE)</f>
        <v>C,RW</v>
      </c>
      <c r="E125" s="17">
        <f>VLOOKUP(Table4[[#This Row],[Name]],Table1[[Player]:[Age]],5,FALSE)</f>
        <v>33</v>
      </c>
      <c r="F125" s="10">
        <f>MAX(
  _xlfn.IFNA(_xlfn.XLOOKUP(B125,'C'!B:B,'C'!E:E),  -1000000000),
  _xlfn.IFNA(_xlfn.XLOOKUP(B125, LW!B:B, LW!E:E), -1000000000),
  _xlfn.IFNA(_xlfn.XLOOKUP(B125, RW!B:B, RW!E:E), -1000000000),
  _xlfn.IFNA(_xlfn.XLOOKUP(B125, D!B:B,  D!E:E),  -1000000000)
)</f>
        <v>0.97352748189784943</v>
      </c>
    </row>
    <row r="126" spans="2:6" x14ac:dyDescent="0.25">
      <c r="B126" t="s">
        <v>404</v>
      </c>
      <c r="C126" s="17" t="str">
        <f>VLOOKUP(Table4[[#This Row],[Name]],Table1[[Player]:[Status]],4,FALSE)</f>
        <v>Abby</v>
      </c>
      <c r="D126" s="17" t="str">
        <f>VLOOKUP(Table4[[#This Row],[Name]],Table1[[Player]:[FP/G]],3,FALSE)</f>
        <v>D</v>
      </c>
      <c r="E126" s="17">
        <f>VLOOKUP(Table4[[#This Row],[Name]],Table1[[Player]:[Age]],5,FALSE)</f>
        <v>40</v>
      </c>
      <c r="F126" s="10">
        <f>MAX(
  _xlfn.IFNA(_xlfn.XLOOKUP(B126,'C'!B:B,'C'!E:E),  -1000000000),
  _xlfn.IFNA(_xlfn.XLOOKUP(B126, LW!B:B, LW!E:E), -1000000000),
  _xlfn.IFNA(_xlfn.XLOOKUP(B126, RW!B:B, RW!E:E), -1000000000),
  _xlfn.IFNA(_xlfn.XLOOKUP(B126, D!B:B,  D!E:E),  -1000000000)
)</f>
        <v>0.96168143163999975</v>
      </c>
    </row>
    <row r="127" spans="2:6" x14ac:dyDescent="0.25">
      <c r="B127" t="s">
        <v>134</v>
      </c>
      <c r="C127" s="17" t="str">
        <f>VLOOKUP(Table4[[#This Row],[Name]],Table1[[Player]:[Status]],4,FALSE)</f>
        <v>Seth</v>
      </c>
      <c r="D127" s="17" t="str">
        <f>VLOOKUP(Table4[[#This Row],[Name]],Table1[[Player]:[FP/G]],3,FALSE)</f>
        <v>LW,RW</v>
      </c>
      <c r="E127" s="17">
        <f>VLOOKUP(Table4[[#This Row],[Name]],Table1[[Player]:[Age]],5,FALSE)</f>
        <v>30</v>
      </c>
      <c r="F127" s="10">
        <f>MAX(
  _xlfn.IFNA(_xlfn.XLOOKUP(B127,'C'!B:B,'C'!E:E),  -1000000000),
  _xlfn.IFNA(_xlfn.XLOOKUP(B127, LW!B:B, LW!E:E), -1000000000),
  _xlfn.IFNA(_xlfn.XLOOKUP(B127, RW!B:B, RW!E:E), -1000000000),
  _xlfn.IFNA(_xlfn.XLOOKUP(B127, D!B:B,  D!E:E),  -1000000000)
)</f>
        <v>0.95742271155390046</v>
      </c>
    </row>
    <row r="128" spans="2:6" x14ac:dyDescent="0.25">
      <c r="B128" t="s">
        <v>203</v>
      </c>
      <c r="C128" s="17" t="str">
        <f>VLOOKUP(Table4[[#This Row],[Name]],Table1[[Player]:[Status]],4,FALSE)</f>
        <v>Jason</v>
      </c>
      <c r="D128" s="17" t="str">
        <f>VLOOKUP(Table4[[#This Row],[Name]],Table1[[Player]:[FP/G]],3,FALSE)</f>
        <v>LW</v>
      </c>
      <c r="E128" s="17">
        <f>VLOOKUP(Table4[[#This Row],[Name]],Table1[[Player]:[Age]],5,FALSE)</f>
        <v>30</v>
      </c>
      <c r="F128" s="10">
        <f>MAX(
  _xlfn.IFNA(_xlfn.XLOOKUP(B128,'C'!B:B,'C'!E:E),  -1000000000),
  _xlfn.IFNA(_xlfn.XLOOKUP(B128, LW!B:B, LW!E:E), -1000000000),
  _xlfn.IFNA(_xlfn.XLOOKUP(B128, RW!B:B, RW!E:E), -1000000000),
  _xlfn.IFNA(_xlfn.XLOOKUP(B128, D!B:B,  D!E:E),  -1000000000)
)</f>
        <v>0.92247348414224017</v>
      </c>
    </row>
    <row r="129" spans="2:6" x14ac:dyDescent="0.25">
      <c r="B129" t="s">
        <v>193</v>
      </c>
      <c r="C129" s="17" t="str">
        <f>VLOOKUP(Table4[[#This Row],[Name]],Table1[[Player]:[Status]],4,FALSE)</f>
        <v>Adam</v>
      </c>
      <c r="D129" s="17" t="str">
        <f>VLOOKUP(Table4[[#This Row],[Name]],Table1[[Player]:[FP/G]],3,FALSE)</f>
        <v>LW,RW</v>
      </c>
      <c r="E129" s="17">
        <f>VLOOKUP(Table4[[#This Row],[Name]],Table1[[Player]:[Age]],5,FALSE)</f>
        <v>25</v>
      </c>
      <c r="F129" s="10">
        <f>MAX(
  _xlfn.IFNA(_xlfn.XLOOKUP(B129,'C'!B:B,'C'!E:E),  -1000000000),
  _xlfn.IFNA(_xlfn.XLOOKUP(B129, LW!B:B, LW!E:E), -1000000000),
  _xlfn.IFNA(_xlfn.XLOOKUP(B129, RW!B:B, RW!E:E), -1000000000),
  _xlfn.IFNA(_xlfn.XLOOKUP(B129, D!B:B,  D!E:E),  -1000000000)
)</f>
        <v>0.91863934684741011</v>
      </c>
    </row>
    <row r="130" spans="2:6" x14ac:dyDescent="0.25">
      <c r="B130" t="s">
        <v>42</v>
      </c>
      <c r="C130" s="17" t="str">
        <f>VLOOKUP(Table4[[#This Row],[Name]],Table1[[Player]:[Status]],4,FALSE)</f>
        <v>Nate</v>
      </c>
      <c r="D130" s="17" t="str">
        <f>VLOOKUP(Table4[[#This Row],[Name]],Table1[[Player]:[FP/G]],3,FALSE)</f>
        <v>LW,RW</v>
      </c>
      <c r="E130" s="17">
        <f>VLOOKUP(Table4[[#This Row],[Name]],Table1[[Player]:[Age]],5,FALSE)</f>
        <v>30</v>
      </c>
      <c r="F130" s="10">
        <f>MAX(
  _xlfn.IFNA(_xlfn.XLOOKUP(B130,'C'!B:B,'C'!E:E),  -1000000000),
  _xlfn.IFNA(_xlfn.XLOOKUP(B130, LW!B:B, LW!E:E), -1000000000),
  _xlfn.IFNA(_xlfn.XLOOKUP(B130, RW!B:B, RW!E:E), -1000000000),
  _xlfn.IFNA(_xlfn.XLOOKUP(B130, D!B:B,  D!E:E),  -1000000000)
)</f>
        <v>0.90902084197364985</v>
      </c>
    </row>
    <row r="131" spans="2:6" x14ac:dyDescent="0.25">
      <c r="B131" t="s">
        <v>486</v>
      </c>
      <c r="C131" s="17" t="str">
        <f>VLOOKUP(Table4[[#This Row],[Name]],Table1[[Player]:[Status]],4,FALSE)</f>
        <v>Sam</v>
      </c>
      <c r="D131" s="17" t="str">
        <f>VLOOKUP(Table4[[#This Row],[Name]],Table1[[Player]:[FP/G]],3,FALSE)</f>
        <v>D</v>
      </c>
      <c r="E131" s="17">
        <f>VLOOKUP(Table4[[#This Row],[Name]],Table1[[Player]:[Age]],5,FALSE)</f>
        <v>32</v>
      </c>
      <c r="F131" s="10">
        <f>MAX(
  _xlfn.IFNA(_xlfn.XLOOKUP(B131,'C'!B:B,'C'!E:E),  -1000000000),
  _xlfn.IFNA(_xlfn.XLOOKUP(B131, LW!B:B, LW!E:E), -1000000000),
  _xlfn.IFNA(_xlfn.XLOOKUP(B131, RW!B:B, RW!E:E), -1000000000),
  _xlfn.IFNA(_xlfn.XLOOKUP(B131, D!B:B,  D!E:E),  -1000000000)
)</f>
        <v>0.85545633347343975</v>
      </c>
    </row>
    <row r="132" spans="2:6" x14ac:dyDescent="0.25">
      <c r="B132" t="s">
        <v>215</v>
      </c>
      <c r="C132" s="17" t="str">
        <f>VLOOKUP(Table4[[#This Row],[Name]],Table1[[Player]:[Status]],4,FALSE)</f>
        <v>Shannon</v>
      </c>
      <c r="D132" s="17" t="str">
        <f>VLOOKUP(Table4[[#This Row],[Name]],Table1[[Player]:[FP/G]],3,FALSE)</f>
        <v>C</v>
      </c>
      <c r="E132" s="17">
        <f>VLOOKUP(Table4[[#This Row],[Name]],Table1[[Player]:[Age]],5,FALSE)</f>
        <v>26</v>
      </c>
      <c r="F132" s="10">
        <f>MAX(
  _xlfn.IFNA(_xlfn.XLOOKUP(B132,'C'!B:B,'C'!E:E),  -1000000000),
  _xlfn.IFNA(_xlfn.XLOOKUP(B132, LW!B:B, LW!E:E), -1000000000),
  _xlfn.IFNA(_xlfn.XLOOKUP(B132, RW!B:B, RW!E:E), -1000000000),
  _xlfn.IFNA(_xlfn.XLOOKUP(B132, D!B:B,  D!E:E),  -1000000000)
)</f>
        <v>0.85083297135434943</v>
      </c>
    </row>
    <row r="133" spans="2:6" x14ac:dyDescent="0.25">
      <c r="B133" t="s">
        <v>268</v>
      </c>
      <c r="C133" s="17" t="str">
        <f>VLOOKUP(Table4[[#This Row],[Name]],Table1[[Player]:[Status]],4,FALSE)</f>
        <v>Jason</v>
      </c>
      <c r="D133" s="17" t="str">
        <f>VLOOKUP(Table4[[#This Row],[Name]],Table1[[Player]:[FP/G]],3,FALSE)</f>
        <v>C</v>
      </c>
      <c r="E133" s="17">
        <f>VLOOKUP(Table4[[#This Row],[Name]],Table1[[Player]:[Age]],5,FALSE)</f>
        <v>32</v>
      </c>
      <c r="F133" s="10">
        <f>MAX(
  _xlfn.IFNA(_xlfn.XLOOKUP(B133,'C'!B:B,'C'!E:E),  -1000000000),
  _xlfn.IFNA(_xlfn.XLOOKUP(B133, LW!B:B, LW!E:E), -1000000000),
  _xlfn.IFNA(_xlfn.XLOOKUP(B133, RW!B:B, RW!E:E), -1000000000),
  _xlfn.IFNA(_xlfn.XLOOKUP(B133, D!B:B,  D!E:E),  -1000000000)
)</f>
        <v>0.84200400692167943</v>
      </c>
    </row>
    <row r="134" spans="2:6" x14ac:dyDescent="0.25">
      <c r="B134" t="s">
        <v>380</v>
      </c>
      <c r="C134" s="17" t="str">
        <f>VLOOKUP(Table4[[#This Row],[Name]],Table1[[Player]:[Status]],4,FALSE)</f>
        <v>Gary</v>
      </c>
      <c r="D134" s="17" t="str">
        <f>VLOOKUP(Table4[[#This Row],[Name]],Table1[[Player]:[FP/G]],3,FALSE)</f>
        <v>LW,RW</v>
      </c>
      <c r="E134" s="17">
        <f>VLOOKUP(Table4[[#This Row],[Name]],Table1[[Player]:[Age]],5,FALSE)</f>
        <v>27</v>
      </c>
      <c r="F134" s="10">
        <f>MAX(
  _xlfn.IFNA(_xlfn.XLOOKUP(B134,'C'!B:B,'C'!E:E),  -1000000000),
  _xlfn.IFNA(_xlfn.XLOOKUP(B134, LW!B:B, LW!E:E), -1000000000),
  _xlfn.IFNA(_xlfn.XLOOKUP(B134, RW!B:B, RW!E:E), -1000000000),
  _xlfn.IFNA(_xlfn.XLOOKUP(B134, D!B:B,  D!E:E),  -1000000000)
)</f>
        <v>0.82795263486996973</v>
      </c>
    </row>
    <row r="135" spans="2:6" x14ac:dyDescent="0.25">
      <c r="B135" t="s">
        <v>360</v>
      </c>
      <c r="C135" s="17" t="str">
        <f>VLOOKUP(Table4[[#This Row],[Name]],Table1[[Player]:[Status]],4,FALSE)</f>
        <v>Joel</v>
      </c>
      <c r="D135" s="17" t="str">
        <f>VLOOKUP(Table4[[#This Row],[Name]],Table1[[Player]:[FP/G]],3,FALSE)</f>
        <v>LW</v>
      </c>
      <c r="E135" s="17">
        <f>VLOOKUP(Table4[[#This Row],[Name]],Table1[[Player]:[Age]],5,FALSE)</f>
        <v>32</v>
      </c>
      <c r="F135" s="10">
        <f>MAX(
  _xlfn.IFNA(_xlfn.XLOOKUP(B135,'C'!B:B,'C'!E:E),  -1000000000),
  _xlfn.IFNA(_xlfn.XLOOKUP(B135, LW!B:B, LW!E:E), -1000000000),
  _xlfn.IFNA(_xlfn.XLOOKUP(B135, RW!B:B, RW!E:E), -1000000000),
  _xlfn.IFNA(_xlfn.XLOOKUP(B135, D!B:B,  D!E:E),  -1000000000)
)</f>
        <v>0.80636095915265038</v>
      </c>
    </row>
    <row r="136" spans="2:6" x14ac:dyDescent="0.25">
      <c r="B136" t="s">
        <v>420</v>
      </c>
      <c r="C136" s="17" t="str">
        <f>VLOOKUP(Table4[[#This Row],[Name]],Table1[[Player]:[Status]],4,FALSE)</f>
        <v>Seth</v>
      </c>
      <c r="D136" s="17" t="str">
        <f>VLOOKUP(Table4[[#This Row],[Name]],Table1[[Player]:[FP/G]],3,FALSE)</f>
        <v>D</v>
      </c>
      <c r="E136" s="17">
        <f>VLOOKUP(Table4[[#This Row],[Name]],Table1[[Player]:[Age]],5,FALSE)</f>
        <v>29</v>
      </c>
      <c r="F136" s="10">
        <f>MAX(
  _xlfn.IFNA(_xlfn.XLOOKUP(B136,'C'!B:B,'C'!E:E),  -1000000000),
  _xlfn.IFNA(_xlfn.XLOOKUP(B136, LW!B:B, LW!E:E), -1000000000),
  _xlfn.IFNA(_xlfn.XLOOKUP(B136, RW!B:B, RW!E:E), -1000000000),
  _xlfn.IFNA(_xlfn.XLOOKUP(B136, D!B:B,  D!E:E),  -1000000000)
)</f>
        <v>0.76910994433275981</v>
      </c>
    </row>
    <row r="137" spans="2:6" x14ac:dyDescent="0.25">
      <c r="B137" t="s">
        <v>152</v>
      </c>
      <c r="C137" s="17" t="str">
        <f>VLOOKUP(Table4[[#This Row],[Name]],Table1[[Player]:[Status]],4,FALSE)</f>
        <v>Daniel</v>
      </c>
      <c r="D137" s="17" t="str">
        <f>VLOOKUP(Table4[[#This Row],[Name]],Table1[[Player]:[FP/G]],3,FALSE)</f>
        <v>C,LW,RW</v>
      </c>
      <c r="E137" s="17">
        <f>VLOOKUP(Table4[[#This Row],[Name]],Table1[[Player]:[Age]],5,FALSE)</f>
        <v>30</v>
      </c>
      <c r="F137" s="10">
        <f>MAX(
  _xlfn.IFNA(_xlfn.XLOOKUP(B137,'C'!B:B,'C'!E:E),  -1000000000),
  _xlfn.IFNA(_xlfn.XLOOKUP(B137, LW!B:B, LW!E:E), -1000000000),
  _xlfn.IFNA(_xlfn.XLOOKUP(B137, RW!B:B, RW!E:E), -1000000000),
  _xlfn.IFNA(_xlfn.XLOOKUP(B137, D!B:B,  D!E:E),  -1000000000)
)</f>
        <v>0.72789705733937993</v>
      </c>
    </row>
    <row r="138" spans="2:6" x14ac:dyDescent="0.25">
      <c r="B138" t="s">
        <v>506</v>
      </c>
      <c r="C138" s="17" t="str">
        <f>VLOOKUP(Table4[[#This Row],[Name]],Table1[[Player]:[Status]],4,FALSE)</f>
        <v>Isaac</v>
      </c>
      <c r="D138" s="17" t="str">
        <f>VLOOKUP(Table4[[#This Row],[Name]],Table1[[Player]:[FP/G]],3,FALSE)</f>
        <v>D</v>
      </c>
      <c r="E138" s="17">
        <f>VLOOKUP(Table4[[#This Row],[Name]],Table1[[Player]:[Age]],5,FALSE)</f>
        <v>29</v>
      </c>
      <c r="F138" s="10">
        <f>MAX(
  _xlfn.IFNA(_xlfn.XLOOKUP(B138,'C'!B:B,'C'!E:E),  -1000000000),
  _xlfn.IFNA(_xlfn.XLOOKUP(B138, LW!B:B, LW!E:E), -1000000000),
  _xlfn.IFNA(_xlfn.XLOOKUP(B138, RW!B:B, RW!E:E), -1000000000),
  _xlfn.IFNA(_xlfn.XLOOKUP(B138, D!B:B,  D!E:E),  -1000000000)
)</f>
        <v>0.67947759585901002</v>
      </c>
    </row>
    <row r="139" spans="2:6" x14ac:dyDescent="0.25">
      <c r="B139" t="s">
        <v>161</v>
      </c>
      <c r="C139" s="17" t="str">
        <f>VLOOKUP(Table4[[#This Row],[Name]],Table1[[Player]:[Status]],4,FALSE)</f>
        <v>Chris</v>
      </c>
      <c r="D139" s="17" t="str">
        <f>VLOOKUP(Table4[[#This Row],[Name]],Table1[[Player]:[FP/G]],3,FALSE)</f>
        <v>LW,RW</v>
      </c>
      <c r="E139" s="17">
        <f>VLOOKUP(Table4[[#This Row],[Name]],Table1[[Player]:[Age]],5,FALSE)</f>
        <v>32</v>
      </c>
      <c r="F139" s="10">
        <f>MAX(
  _xlfn.IFNA(_xlfn.XLOOKUP(B139,'C'!B:B,'C'!E:E),  -1000000000),
  _xlfn.IFNA(_xlfn.XLOOKUP(B139, LW!B:B, LW!E:E), -1000000000),
  _xlfn.IFNA(_xlfn.XLOOKUP(B139, RW!B:B, RW!E:E), -1000000000),
  _xlfn.IFNA(_xlfn.XLOOKUP(B139, D!B:B,  D!E:E),  -1000000000)
)</f>
        <v>0.67516820065396033</v>
      </c>
    </row>
    <row r="140" spans="2:6" x14ac:dyDescent="0.25">
      <c r="B140" t="s">
        <v>113</v>
      </c>
      <c r="C140" s="17" t="str">
        <f>VLOOKUP(Table4[[#This Row],[Name]],Table1[[Player]:[Status]],4,FALSE)</f>
        <v>Isaac</v>
      </c>
      <c r="D140" s="17" t="str">
        <f>VLOOKUP(Table4[[#This Row],[Name]],Table1[[Player]:[FP/G]],3,FALSE)</f>
        <v>LW</v>
      </c>
      <c r="E140" s="17">
        <f>VLOOKUP(Table4[[#This Row],[Name]],Table1[[Player]:[Age]],5,FALSE)</f>
        <v>31</v>
      </c>
      <c r="F140" s="10">
        <f>MAX(
  _xlfn.IFNA(_xlfn.XLOOKUP(B140,'C'!B:B,'C'!E:E),  -1000000000),
  _xlfn.IFNA(_xlfn.XLOOKUP(B140, LW!B:B, LW!E:E), -1000000000),
  _xlfn.IFNA(_xlfn.XLOOKUP(B140, RW!B:B, RW!E:E), -1000000000),
  _xlfn.IFNA(_xlfn.XLOOKUP(B140, D!B:B,  D!E:E),  -1000000000)
)</f>
        <v>0.67447861339883985</v>
      </c>
    </row>
    <row r="141" spans="2:6" x14ac:dyDescent="0.25">
      <c r="B141" t="s">
        <v>244</v>
      </c>
      <c r="C141" s="17" t="str">
        <f>VLOOKUP(Table4[[#This Row],[Name]],Table1[[Player]:[Status]],4,FALSE)</f>
        <v>Logan</v>
      </c>
      <c r="D141" s="17" t="str">
        <f>VLOOKUP(Table4[[#This Row],[Name]],Table1[[Player]:[FP/G]],3,FALSE)</f>
        <v>RW</v>
      </c>
      <c r="E141" s="17">
        <f>VLOOKUP(Table4[[#This Row],[Name]],Table1[[Player]:[Age]],5,FALSE)</f>
        <v>29</v>
      </c>
      <c r="F141" s="10">
        <f>MAX(
  _xlfn.IFNA(_xlfn.XLOOKUP(B141,'C'!B:B,'C'!E:E),  -1000000000),
  _xlfn.IFNA(_xlfn.XLOOKUP(B141, LW!B:B, LW!E:E), -1000000000),
  _xlfn.IFNA(_xlfn.XLOOKUP(B141, RW!B:B, RW!E:E), -1000000000),
  _xlfn.IFNA(_xlfn.XLOOKUP(B141, D!B:B,  D!E:E),  -1000000000)
)</f>
        <v>0.65848717733808027</v>
      </c>
    </row>
    <row r="142" spans="2:6" x14ac:dyDescent="0.25">
      <c r="B142" t="s">
        <v>223</v>
      </c>
      <c r="C142" s="17" t="str">
        <f>VLOOKUP(Table4[[#This Row],[Name]],Table1[[Player]:[Status]],4,FALSE)</f>
        <v>Chris</v>
      </c>
      <c r="D142" s="17" t="str">
        <f>VLOOKUP(Table4[[#This Row],[Name]],Table1[[Player]:[FP/G]],3,FALSE)</f>
        <v>C</v>
      </c>
      <c r="E142" s="17">
        <f>VLOOKUP(Table4[[#This Row],[Name]],Table1[[Player]:[Age]],5,FALSE)</f>
        <v>28</v>
      </c>
      <c r="F142" s="10">
        <f>MAX(
  _xlfn.IFNA(_xlfn.XLOOKUP(B142,'C'!B:B,'C'!E:E),  -1000000000),
  _xlfn.IFNA(_xlfn.XLOOKUP(B142, LW!B:B, LW!E:E), -1000000000),
  _xlfn.IFNA(_xlfn.XLOOKUP(B142, RW!B:B, RW!E:E), -1000000000),
  _xlfn.IFNA(_xlfn.XLOOKUP(B142, D!B:B,  D!E:E),  -1000000000)
)</f>
        <v>0.63660844009920936</v>
      </c>
    </row>
    <row r="143" spans="2:6" x14ac:dyDescent="0.25">
      <c r="B143" t="s">
        <v>1583</v>
      </c>
      <c r="C143" s="17" t="str">
        <f>VLOOKUP(Table4[[#This Row],[Name]],Table1[[Player]:[Status]],4,FALSE)</f>
        <v>Joel</v>
      </c>
      <c r="D143" s="17" t="str">
        <f>VLOOKUP(Table4[[#This Row],[Name]],Table1[[Player]:[FP/G]],3,FALSE)</f>
        <v>LW</v>
      </c>
      <c r="E143" s="17">
        <f>VLOOKUP(Table4[[#This Row],[Name]],Table1[[Player]:[Age]],5,FALSE)</f>
        <v>22</v>
      </c>
      <c r="F143" s="10">
        <f>MAX(
  _xlfn.IFNA(_xlfn.XLOOKUP(B143,'C'!B:B,'C'!E:E),  -1000000000),
  _xlfn.IFNA(_xlfn.XLOOKUP(B143, LW!B:B, LW!E:E), -1000000000),
  _xlfn.IFNA(_xlfn.XLOOKUP(B143, RW!B:B, RW!E:E), -1000000000),
  _xlfn.IFNA(_xlfn.XLOOKUP(B143, D!B:B,  D!E:E),  -1000000000)
)</f>
        <v>0.63513658023583019</v>
      </c>
    </row>
    <row r="144" spans="2:6" x14ac:dyDescent="0.25">
      <c r="B144" t="s">
        <v>524</v>
      </c>
      <c r="C144" s="17" t="str">
        <f>VLOOKUP(Table4[[#This Row],[Name]],Table1[[Player]:[Status]],4,FALSE)</f>
        <v>Seth</v>
      </c>
      <c r="D144" s="17" t="str">
        <f>VLOOKUP(Table4[[#This Row],[Name]],Table1[[Player]:[FP/G]],3,FALSE)</f>
        <v>D</v>
      </c>
      <c r="E144" s="17">
        <f>VLOOKUP(Table4[[#This Row],[Name]],Table1[[Player]:[Age]],5,FALSE)</f>
        <v>24</v>
      </c>
      <c r="F144" s="10">
        <f>MAX(
  _xlfn.IFNA(_xlfn.XLOOKUP(B144,'C'!B:B,'C'!E:E),  -1000000000),
  _xlfn.IFNA(_xlfn.XLOOKUP(B144, LW!B:B, LW!E:E), -1000000000),
  _xlfn.IFNA(_xlfn.XLOOKUP(B144, RW!B:B, RW!E:E), -1000000000),
  _xlfn.IFNA(_xlfn.XLOOKUP(B144, D!B:B,  D!E:E),  -1000000000)
)</f>
        <v>0.6281655593534996</v>
      </c>
    </row>
    <row r="145" spans="2:6" x14ac:dyDescent="0.25">
      <c r="B145" t="s">
        <v>35</v>
      </c>
      <c r="C145" s="17" t="str">
        <f>VLOOKUP(Table4[[#This Row],[Name]],Table1[[Player]:[Status]],4,FALSE)</f>
        <v>Gary</v>
      </c>
      <c r="D145" s="17" t="str">
        <f>VLOOKUP(Table4[[#This Row],[Name]],Table1[[Player]:[FP/G]],3,FALSE)</f>
        <v>C,LW</v>
      </c>
      <c r="E145" s="17">
        <f>VLOOKUP(Table4[[#This Row],[Name]],Table1[[Player]:[Age]],5,FALSE)</f>
        <v>35</v>
      </c>
      <c r="F145" s="10">
        <f>MAX(
  _xlfn.IFNA(_xlfn.XLOOKUP(B145,'C'!B:B,'C'!E:E),  -1000000000),
  _xlfn.IFNA(_xlfn.XLOOKUP(B145, LW!B:B, LW!E:E), -1000000000),
  _xlfn.IFNA(_xlfn.XLOOKUP(B145, RW!B:B, RW!E:E), -1000000000),
  _xlfn.IFNA(_xlfn.XLOOKUP(B145, D!B:B,  D!E:E),  -1000000000)
)</f>
        <v>0.61306189393055011</v>
      </c>
    </row>
    <row r="146" spans="2:6" x14ac:dyDescent="0.25">
      <c r="B146" t="s">
        <v>516</v>
      </c>
      <c r="C146" s="17" t="str">
        <f>VLOOKUP(Table4[[#This Row],[Name]],Table1[[Player]:[Status]],4,FALSE)</f>
        <v>Isaac</v>
      </c>
      <c r="D146" s="17" t="str">
        <f>VLOOKUP(Table4[[#This Row],[Name]],Table1[[Player]:[FP/G]],3,FALSE)</f>
        <v>LW,RW</v>
      </c>
      <c r="E146" s="17">
        <f>VLOOKUP(Table4[[#This Row],[Name]],Table1[[Player]:[Age]],5,FALSE)</f>
        <v>32</v>
      </c>
      <c r="F146" s="10">
        <f>MAX(
  _xlfn.IFNA(_xlfn.XLOOKUP(B146,'C'!B:B,'C'!E:E),  -1000000000),
  _xlfn.IFNA(_xlfn.XLOOKUP(B146, LW!B:B, LW!E:E), -1000000000),
  _xlfn.IFNA(_xlfn.XLOOKUP(B146, RW!B:B, RW!E:E), -1000000000),
  _xlfn.IFNA(_xlfn.XLOOKUP(B146, D!B:B,  D!E:E),  -1000000000)
)</f>
        <v>0.59328987652895027</v>
      </c>
    </row>
    <row r="147" spans="2:6" x14ac:dyDescent="0.25">
      <c r="B147" t="s">
        <v>141</v>
      </c>
      <c r="C147" s="17" t="str">
        <f>VLOOKUP(Table4[[#This Row],[Name]],Table1[[Player]:[Status]],4,FALSE)</f>
        <v>Gary</v>
      </c>
      <c r="D147" s="17" t="str">
        <f>VLOOKUP(Table4[[#This Row],[Name]],Table1[[Player]:[FP/G]],3,FALSE)</f>
        <v>C,LW</v>
      </c>
      <c r="E147" s="17">
        <f>VLOOKUP(Table4[[#This Row],[Name]],Table1[[Player]:[Age]],5,FALSE)</f>
        <v>32</v>
      </c>
      <c r="F147" s="10">
        <f>MAX(
  _xlfn.IFNA(_xlfn.XLOOKUP(B147,'C'!B:B,'C'!E:E),  -1000000000),
  _xlfn.IFNA(_xlfn.XLOOKUP(B147, LW!B:B, LW!E:E), -1000000000),
  _xlfn.IFNA(_xlfn.XLOOKUP(B147, RW!B:B, RW!E:E), -1000000000),
  _xlfn.IFNA(_xlfn.XLOOKUP(B147, D!B:B,  D!E:E),  -1000000000)
)</f>
        <v>0.56415181454717978</v>
      </c>
    </row>
    <row r="148" spans="2:6" x14ac:dyDescent="0.25">
      <c r="B148" t="s">
        <v>1601</v>
      </c>
      <c r="C148" s="17" t="str">
        <f>VLOOKUP(Table4[[#This Row],[Name]],Table1[[Player]:[Status]],4,FALSE)</f>
        <v>Seth</v>
      </c>
      <c r="D148" s="17" t="str">
        <f>VLOOKUP(Table4[[#This Row],[Name]],Table1[[Player]:[FP/G]],3,FALSE)</f>
        <v>D</v>
      </c>
      <c r="E148" s="17">
        <f>VLOOKUP(Table4[[#This Row],[Name]],Table1[[Player]:[Age]],5,FALSE)</f>
        <v>25</v>
      </c>
      <c r="F148" s="10">
        <f>MAX(
  _xlfn.IFNA(_xlfn.XLOOKUP(B148,'C'!B:B,'C'!E:E),  -1000000000),
  _xlfn.IFNA(_xlfn.XLOOKUP(B148, LW!B:B, LW!E:E), -1000000000),
  _xlfn.IFNA(_xlfn.XLOOKUP(B148, RW!B:B, RW!E:E), -1000000000),
  _xlfn.IFNA(_xlfn.XLOOKUP(B148, D!B:B,  D!E:E),  -1000000000)
)</f>
        <v>0.56147073591901986</v>
      </c>
    </row>
    <row r="149" spans="2:6" x14ac:dyDescent="0.25">
      <c r="B149" t="s">
        <v>272</v>
      </c>
      <c r="C149" s="17" t="str">
        <f>VLOOKUP(Table4[[#This Row],[Name]],Table1[[Player]:[Status]],4,FALSE)</f>
        <v>Isaac</v>
      </c>
      <c r="D149" s="17" t="str">
        <f>VLOOKUP(Table4[[#This Row],[Name]],Table1[[Player]:[FP/G]],3,FALSE)</f>
        <v>RW</v>
      </c>
      <c r="E149" s="17">
        <f>VLOOKUP(Table4[[#This Row],[Name]],Table1[[Player]:[Age]],5,FALSE)</f>
        <v>28</v>
      </c>
      <c r="F149" s="10">
        <f>MAX(
  _xlfn.IFNA(_xlfn.XLOOKUP(B149,'C'!B:B,'C'!E:E),  -1000000000),
  _xlfn.IFNA(_xlfn.XLOOKUP(B149, LW!B:B, LW!E:E), -1000000000),
  _xlfn.IFNA(_xlfn.XLOOKUP(B149, RW!B:B, RW!E:E), -1000000000),
  _xlfn.IFNA(_xlfn.XLOOKUP(B149, D!B:B,  D!E:E),  -1000000000)
)</f>
        <v>0.56043769337551996</v>
      </c>
    </row>
    <row r="150" spans="2:6" x14ac:dyDescent="0.25">
      <c r="B150" t="s">
        <v>260</v>
      </c>
      <c r="C150" s="17" t="str">
        <f>VLOOKUP(Table4[[#This Row],[Name]],Table1[[Player]:[Status]],4,FALSE)</f>
        <v>Jason</v>
      </c>
      <c r="D150" s="17" t="str">
        <f>VLOOKUP(Table4[[#This Row],[Name]],Table1[[Player]:[FP/G]],3,FALSE)</f>
        <v>LW,RW</v>
      </c>
      <c r="E150" s="17">
        <f>VLOOKUP(Table4[[#This Row],[Name]],Table1[[Player]:[Age]],5,FALSE)</f>
        <v>33</v>
      </c>
      <c r="F150" s="10">
        <f>MAX(
  _xlfn.IFNA(_xlfn.XLOOKUP(B150,'C'!B:B,'C'!E:E),  -1000000000),
  _xlfn.IFNA(_xlfn.XLOOKUP(B150, LW!B:B, LW!E:E), -1000000000),
  _xlfn.IFNA(_xlfn.XLOOKUP(B150, RW!B:B, RW!E:E), -1000000000),
  _xlfn.IFNA(_xlfn.XLOOKUP(B150, D!B:B,  D!E:E),  -1000000000)
)</f>
        <v>0.55832349262355052</v>
      </c>
    </row>
    <row r="151" spans="2:6" x14ac:dyDescent="0.25">
      <c r="B151" t="s">
        <v>320</v>
      </c>
      <c r="C151" s="17" t="str">
        <f>VLOOKUP(Table4[[#This Row],[Name]],Table1[[Player]:[Status]],4,FALSE)</f>
        <v>W &lt;small&gt;(Mon)&lt;/small&gt;</v>
      </c>
      <c r="D151" s="17" t="str">
        <f>VLOOKUP(Table4[[#This Row],[Name]],Table1[[Player]:[FP/G]],3,FALSE)</f>
        <v>C</v>
      </c>
      <c r="E151" s="17">
        <f>VLOOKUP(Table4[[#This Row],[Name]],Table1[[Player]:[Age]],5,FALSE)</f>
        <v>26</v>
      </c>
      <c r="F151" s="10">
        <f>MAX(
  _xlfn.IFNA(_xlfn.XLOOKUP(B151,'C'!B:B,'C'!E:E),  -1000000000),
  _xlfn.IFNA(_xlfn.XLOOKUP(B151, LW!B:B, LW!E:E), -1000000000),
  _xlfn.IFNA(_xlfn.XLOOKUP(B151, RW!B:B, RW!E:E), -1000000000),
  _xlfn.IFNA(_xlfn.XLOOKUP(B151, D!B:B,  D!E:E),  -1000000000)
)</f>
        <v>0.54638415047755995</v>
      </c>
    </row>
    <row r="152" spans="2:6" x14ac:dyDescent="0.25">
      <c r="B152" t="s">
        <v>522</v>
      </c>
      <c r="C152" s="17" t="str">
        <f>VLOOKUP(Table4[[#This Row],[Name]],Table1[[Player]:[Status]],4,FALSE)</f>
        <v>W &lt;small&gt;(Mon)&lt;/small&gt;</v>
      </c>
      <c r="D152" s="17" t="str">
        <f>VLOOKUP(Table4[[#This Row],[Name]],Table1[[Player]:[FP/G]],3,FALSE)</f>
        <v>D</v>
      </c>
      <c r="E152" s="17">
        <f>VLOOKUP(Table4[[#This Row],[Name]],Table1[[Player]:[Age]],5,FALSE)</f>
        <v>31</v>
      </c>
      <c r="F152" s="10">
        <f>MAX(
  _xlfn.IFNA(_xlfn.XLOOKUP(B152,'C'!B:B,'C'!E:E),  -1000000000),
  _xlfn.IFNA(_xlfn.XLOOKUP(B152, LW!B:B, LW!E:E), -1000000000),
  _xlfn.IFNA(_xlfn.XLOOKUP(B152, RW!B:B, RW!E:E), -1000000000),
  _xlfn.IFNA(_xlfn.XLOOKUP(B152, D!B:B,  D!E:E),  -1000000000)
)</f>
        <v>0.54407195881246961</v>
      </c>
    </row>
    <row r="153" spans="2:6" x14ac:dyDescent="0.25">
      <c r="B153" t="s">
        <v>246</v>
      </c>
      <c r="C153" s="17" t="str">
        <f>VLOOKUP(Table4[[#This Row],[Name]],Table1[[Player]:[Status]],4,FALSE)</f>
        <v>Daniel</v>
      </c>
      <c r="D153" s="17" t="str">
        <f>VLOOKUP(Table4[[#This Row],[Name]],Table1[[Player]:[FP/G]],3,FALSE)</f>
        <v>C,LW,RW</v>
      </c>
      <c r="E153" s="17">
        <f>VLOOKUP(Table4[[#This Row],[Name]],Table1[[Player]:[Age]],5,FALSE)</f>
        <v>27</v>
      </c>
      <c r="F153" s="10">
        <f>MAX(
  _xlfn.IFNA(_xlfn.XLOOKUP(B153,'C'!B:B,'C'!E:E),  -1000000000),
  _xlfn.IFNA(_xlfn.XLOOKUP(B153, LW!B:B, LW!E:E), -1000000000),
  _xlfn.IFNA(_xlfn.XLOOKUP(B153, RW!B:B, RW!E:E), -1000000000),
  _xlfn.IFNA(_xlfn.XLOOKUP(B153, D!B:B,  D!E:E),  -1000000000)
)</f>
        <v>0.53443827515185927</v>
      </c>
    </row>
    <row r="154" spans="2:6" x14ac:dyDescent="0.25">
      <c r="B154" t="s">
        <v>63</v>
      </c>
      <c r="C154" s="17" t="str">
        <f>VLOOKUP(Table4[[#This Row],[Name]],Table1[[Player]:[Status]],4,FALSE)</f>
        <v>Sam</v>
      </c>
      <c r="D154" s="17" t="str">
        <f>VLOOKUP(Table4[[#This Row],[Name]],Table1[[Player]:[FP/G]],3,FALSE)</f>
        <v>LW</v>
      </c>
      <c r="E154" s="17">
        <f>VLOOKUP(Table4[[#This Row],[Name]],Table1[[Player]:[Age]],5,FALSE)</f>
        <v>37</v>
      </c>
      <c r="F154" s="10">
        <f>MAX(
  _xlfn.IFNA(_xlfn.XLOOKUP(B154,'C'!B:B,'C'!E:E),  -1000000000),
  _xlfn.IFNA(_xlfn.XLOOKUP(B154, LW!B:B, LW!E:E), -1000000000),
  _xlfn.IFNA(_xlfn.XLOOKUP(B154, RW!B:B, RW!E:E), -1000000000),
  _xlfn.IFNA(_xlfn.XLOOKUP(B154, D!B:B,  D!E:E),  -1000000000)
)</f>
        <v>0.51775819593285988</v>
      </c>
    </row>
    <row r="155" spans="2:6" x14ac:dyDescent="0.25">
      <c r="B155" t="s">
        <v>187</v>
      </c>
      <c r="C155" s="17" t="str">
        <f>VLOOKUP(Table4[[#This Row],[Name]],Table1[[Player]:[Status]],4,FALSE)</f>
        <v>Murica</v>
      </c>
      <c r="D155" s="17" t="str">
        <f>VLOOKUP(Table4[[#This Row],[Name]],Table1[[Player]:[FP/G]],3,FALSE)</f>
        <v>C</v>
      </c>
      <c r="E155" s="17">
        <f>VLOOKUP(Table4[[#This Row],[Name]],Table1[[Player]:[Age]],5,FALSE)</f>
        <v>30</v>
      </c>
      <c r="F155" s="10">
        <f>MAX(
  _xlfn.IFNA(_xlfn.XLOOKUP(B155,'C'!B:B,'C'!E:E),  -1000000000),
  _xlfn.IFNA(_xlfn.XLOOKUP(B155, LW!B:B, LW!E:E), -1000000000),
  _xlfn.IFNA(_xlfn.XLOOKUP(B155, RW!B:B, RW!E:E), -1000000000),
  _xlfn.IFNA(_xlfn.XLOOKUP(B155, D!B:B,  D!E:E),  -1000000000)
)</f>
        <v>0.50877758553161989</v>
      </c>
    </row>
    <row r="156" spans="2:6" x14ac:dyDescent="0.25">
      <c r="B156" t="s">
        <v>201</v>
      </c>
      <c r="C156" s="17" t="str">
        <f>VLOOKUP(Table4[[#This Row],[Name]],Table1[[Player]:[Status]],4,FALSE)</f>
        <v>Seth</v>
      </c>
      <c r="D156" s="17" t="str">
        <f>VLOOKUP(Table4[[#This Row],[Name]],Table1[[Player]:[FP/G]],3,FALSE)</f>
        <v>C</v>
      </c>
      <c r="E156" s="17">
        <f>VLOOKUP(Table4[[#This Row],[Name]],Table1[[Player]:[Age]],5,FALSE)</f>
        <v>38</v>
      </c>
      <c r="F156" s="10">
        <f>MAX(
  _xlfn.IFNA(_xlfn.XLOOKUP(B156,'C'!B:B,'C'!E:E),  -1000000000),
  _xlfn.IFNA(_xlfn.XLOOKUP(B156, LW!B:B, LW!E:E), -1000000000),
  _xlfn.IFNA(_xlfn.XLOOKUP(B156, RW!B:B, RW!E:E), -1000000000),
  _xlfn.IFNA(_xlfn.XLOOKUP(B156, D!B:B,  D!E:E),  -1000000000)
)</f>
        <v>0.50777414454849001</v>
      </c>
    </row>
    <row r="157" spans="2:6" x14ac:dyDescent="0.25">
      <c r="B157" t="s">
        <v>211</v>
      </c>
      <c r="C157" s="17" t="str">
        <f>VLOOKUP(Table4[[#This Row],[Name]],Table1[[Player]:[Status]],4,FALSE)</f>
        <v>Shannon</v>
      </c>
      <c r="D157" s="17" t="str">
        <f>VLOOKUP(Table4[[#This Row],[Name]],Table1[[Player]:[FP/G]],3,FALSE)</f>
        <v>LW</v>
      </c>
      <c r="E157" s="17">
        <f>VLOOKUP(Table4[[#This Row],[Name]],Table1[[Player]:[Age]],5,FALSE)</f>
        <v>36</v>
      </c>
      <c r="F157" s="10">
        <f>MAX(
  _xlfn.IFNA(_xlfn.XLOOKUP(B157,'C'!B:B,'C'!E:E),  -1000000000),
  _xlfn.IFNA(_xlfn.XLOOKUP(B157, LW!B:B, LW!E:E), -1000000000),
  _xlfn.IFNA(_xlfn.XLOOKUP(B157, RW!B:B, RW!E:E), -1000000000),
  _xlfn.IFNA(_xlfn.XLOOKUP(B157, D!B:B,  D!E:E),  -1000000000)
)</f>
        <v>0.50735769706530043</v>
      </c>
    </row>
    <row r="158" spans="2:6" x14ac:dyDescent="0.25">
      <c r="B158" t="s">
        <v>163</v>
      </c>
      <c r="C158" s="17" t="str">
        <f>VLOOKUP(Table4[[#This Row],[Name]],Table1[[Player]:[Status]],4,FALSE)</f>
        <v>Isaac</v>
      </c>
      <c r="D158" s="17" t="str">
        <f>VLOOKUP(Table4[[#This Row],[Name]],Table1[[Player]:[FP/G]],3,FALSE)</f>
        <v>LW</v>
      </c>
      <c r="E158" s="17">
        <f>VLOOKUP(Table4[[#This Row],[Name]],Table1[[Player]:[Age]],5,FALSE)</f>
        <v>26</v>
      </c>
      <c r="F158" s="10">
        <f>MAX(
  _xlfn.IFNA(_xlfn.XLOOKUP(B158,'C'!B:B,'C'!E:E),  -1000000000),
  _xlfn.IFNA(_xlfn.XLOOKUP(B158, LW!B:B, LW!E:E), -1000000000),
  _xlfn.IFNA(_xlfn.XLOOKUP(B158, RW!B:B, RW!E:E), -1000000000),
  _xlfn.IFNA(_xlfn.XLOOKUP(B158, D!B:B,  D!E:E),  -1000000000)
)</f>
        <v>0.5047268268937799</v>
      </c>
    </row>
    <row r="159" spans="2:6" x14ac:dyDescent="0.25">
      <c r="B159" t="s">
        <v>248</v>
      </c>
      <c r="C159" s="17" t="str">
        <f>VLOOKUP(Table4[[#This Row],[Name]],Table1[[Player]:[Status]],4,FALSE)</f>
        <v>Abby</v>
      </c>
      <c r="D159" s="17" t="str">
        <f>VLOOKUP(Table4[[#This Row],[Name]],Table1[[Player]:[FP/G]],3,FALSE)</f>
        <v>RW</v>
      </c>
      <c r="E159" s="17">
        <f>VLOOKUP(Table4[[#This Row],[Name]],Table1[[Player]:[Age]],5,FALSE)</f>
        <v>33</v>
      </c>
      <c r="F159" s="10">
        <f>MAX(
  _xlfn.IFNA(_xlfn.XLOOKUP(B159,'C'!B:B,'C'!E:E),  -1000000000),
  _xlfn.IFNA(_xlfn.XLOOKUP(B159, LW!B:B, LW!E:E), -1000000000),
  _xlfn.IFNA(_xlfn.XLOOKUP(B159, RW!B:B, RW!E:E), -1000000000),
  _xlfn.IFNA(_xlfn.XLOOKUP(B159, D!B:B,  D!E:E),  -1000000000)
)</f>
        <v>0.50400087950214978</v>
      </c>
    </row>
    <row r="160" spans="2:6" x14ac:dyDescent="0.25">
      <c r="B160" t="s">
        <v>109</v>
      </c>
      <c r="C160" s="17" t="str">
        <f>VLOOKUP(Table4[[#This Row],[Name]],Table1[[Player]:[Status]],4,FALSE)</f>
        <v>Shannon</v>
      </c>
      <c r="D160" s="17" t="str">
        <f>VLOOKUP(Table4[[#This Row],[Name]],Table1[[Player]:[FP/G]],3,FALSE)</f>
        <v>C,RW</v>
      </c>
      <c r="E160" s="17">
        <f>VLOOKUP(Table4[[#This Row],[Name]],Table1[[Player]:[Age]],5,FALSE)</f>
        <v>28</v>
      </c>
      <c r="F160" s="10">
        <f>MAX(
  _xlfn.IFNA(_xlfn.XLOOKUP(B160,'C'!B:B,'C'!E:E),  -1000000000),
  _xlfn.IFNA(_xlfn.XLOOKUP(B160, LW!B:B, LW!E:E), -1000000000),
  _xlfn.IFNA(_xlfn.XLOOKUP(B160, RW!B:B, RW!E:E), -1000000000),
  _xlfn.IFNA(_xlfn.XLOOKUP(B160, D!B:B,  D!E:E),  -1000000000)
)</f>
        <v>0.49822130306020007</v>
      </c>
    </row>
    <row r="161" spans="2:6" x14ac:dyDescent="0.25">
      <c r="B161" t="s">
        <v>157</v>
      </c>
      <c r="C161" s="17" t="str">
        <f>VLOOKUP(Table4[[#This Row],[Name]],Table1[[Player]:[Status]],4,FALSE)</f>
        <v>Abby</v>
      </c>
      <c r="D161" s="17" t="str">
        <f>VLOOKUP(Table4[[#This Row],[Name]],Table1[[Player]:[FP/G]],3,FALSE)</f>
        <v>C</v>
      </c>
      <c r="E161" s="17">
        <f>VLOOKUP(Table4[[#This Row],[Name]],Table1[[Player]:[Age]],5,FALSE)</f>
        <v>39</v>
      </c>
      <c r="F161" s="10">
        <f>MAX(
  _xlfn.IFNA(_xlfn.XLOOKUP(B161,'C'!B:B,'C'!E:E),  -1000000000),
  _xlfn.IFNA(_xlfn.XLOOKUP(B161, LW!B:B, LW!E:E), -1000000000),
  _xlfn.IFNA(_xlfn.XLOOKUP(B161, RW!B:B, RW!E:E), -1000000000),
  _xlfn.IFNA(_xlfn.XLOOKUP(B161, D!B:B,  D!E:E),  -1000000000)
)</f>
        <v>0.49438048076101992</v>
      </c>
    </row>
    <row r="162" spans="2:6" x14ac:dyDescent="0.25">
      <c r="B162" t="s">
        <v>1595</v>
      </c>
      <c r="C162" s="17" t="str">
        <f>VLOOKUP(Table4[[#This Row],[Name]],Table1[[Player]:[Status]],4,FALSE)</f>
        <v>Nate</v>
      </c>
      <c r="D162" s="17" t="str">
        <f>VLOOKUP(Table4[[#This Row],[Name]],Table1[[Player]:[FP/G]],3,FALSE)</f>
        <v>D</v>
      </c>
      <c r="E162" s="17">
        <f>VLOOKUP(Table4[[#This Row],[Name]],Table1[[Player]:[Age]],5,FALSE)</f>
        <v>22</v>
      </c>
      <c r="F162" s="10">
        <f>MAX(
  _xlfn.IFNA(_xlfn.XLOOKUP(B162,'C'!B:B,'C'!E:E),  -1000000000),
  _xlfn.IFNA(_xlfn.XLOOKUP(B162, LW!B:B, LW!E:E), -1000000000),
  _xlfn.IFNA(_xlfn.XLOOKUP(B162, RW!B:B, RW!E:E), -1000000000),
  _xlfn.IFNA(_xlfn.XLOOKUP(B162, D!B:B,  D!E:E),  -1000000000)
)</f>
        <v>0.4845658811817497</v>
      </c>
    </row>
    <row r="163" spans="2:6" x14ac:dyDescent="0.25">
      <c r="B163" t="s">
        <v>384</v>
      </c>
      <c r="C163" s="17" t="str">
        <f>VLOOKUP(Table4[[#This Row],[Name]],Table1[[Player]:[Status]],4,FALSE)</f>
        <v>Chris</v>
      </c>
      <c r="D163" s="17" t="str">
        <f>VLOOKUP(Table4[[#This Row],[Name]],Table1[[Player]:[FP/G]],3,FALSE)</f>
        <v>C</v>
      </c>
      <c r="E163" s="17">
        <f>VLOOKUP(Table4[[#This Row],[Name]],Table1[[Player]:[Age]],5,FALSE)</f>
        <v>23</v>
      </c>
      <c r="F163" s="10">
        <f>MAX(
  _xlfn.IFNA(_xlfn.XLOOKUP(B163,'C'!B:B,'C'!E:E),  -1000000000),
  _xlfn.IFNA(_xlfn.XLOOKUP(B163, LW!B:B, LW!E:E), -1000000000),
  _xlfn.IFNA(_xlfn.XLOOKUP(B163, RW!B:B, RW!E:E), -1000000000),
  _xlfn.IFNA(_xlfn.XLOOKUP(B163, D!B:B,  D!E:E),  -1000000000)
)</f>
        <v>0.47305287411083974</v>
      </c>
    </row>
    <row r="164" spans="2:6" x14ac:dyDescent="0.25">
      <c r="B164" t="s">
        <v>89</v>
      </c>
      <c r="C164" s="17" t="str">
        <f>VLOOKUP(Table4[[#This Row],[Name]],Table1[[Player]:[Status]],4,FALSE)</f>
        <v>Murica</v>
      </c>
      <c r="D164" s="17" t="str">
        <f>VLOOKUP(Table4[[#This Row],[Name]],Table1[[Player]:[FP/G]],3,FALSE)</f>
        <v>LW</v>
      </c>
      <c r="E164" s="17">
        <f>VLOOKUP(Table4[[#This Row],[Name]],Table1[[Player]:[Age]],5,FALSE)</f>
        <v>34</v>
      </c>
      <c r="F164" s="10">
        <f>MAX(
  _xlfn.IFNA(_xlfn.XLOOKUP(B164,'C'!B:B,'C'!E:E),  -1000000000),
  _xlfn.IFNA(_xlfn.XLOOKUP(B164, LW!B:B, LW!E:E), -1000000000),
  _xlfn.IFNA(_xlfn.XLOOKUP(B164, RW!B:B, RW!E:E), -1000000000),
  _xlfn.IFNA(_xlfn.XLOOKUP(B164, D!B:B,  D!E:E),  -1000000000)
)</f>
        <v>0.45056082348956039</v>
      </c>
    </row>
    <row r="165" spans="2:6" x14ac:dyDescent="0.25">
      <c r="B165" t="s">
        <v>213</v>
      </c>
      <c r="C165" s="17" t="str">
        <f>VLOOKUP(Table4[[#This Row],[Name]],Table1[[Player]:[Status]],4,FALSE)</f>
        <v>Seth</v>
      </c>
      <c r="D165" s="17" t="str">
        <f>VLOOKUP(Table4[[#This Row],[Name]],Table1[[Player]:[FP/G]],3,FALSE)</f>
        <v>LW,RW</v>
      </c>
      <c r="E165" s="17">
        <f>VLOOKUP(Table4[[#This Row],[Name]],Table1[[Player]:[Age]],5,FALSE)</f>
        <v>28</v>
      </c>
      <c r="F165" s="10">
        <f>MAX(
  _xlfn.IFNA(_xlfn.XLOOKUP(B165,'C'!B:B,'C'!E:E),  -1000000000),
  _xlfn.IFNA(_xlfn.XLOOKUP(B165, LW!B:B, LW!E:E), -1000000000),
  _xlfn.IFNA(_xlfn.XLOOKUP(B165, RW!B:B, RW!E:E), -1000000000),
  _xlfn.IFNA(_xlfn.XLOOKUP(B165, D!B:B,  D!E:E),  -1000000000)
)</f>
        <v>0.44739283710389977</v>
      </c>
    </row>
    <row r="166" spans="2:6" x14ac:dyDescent="0.25">
      <c r="B166" t="s">
        <v>518</v>
      </c>
      <c r="C166" s="17" t="str">
        <f>VLOOKUP(Table4[[#This Row],[Name]],Table1[[Player]:[Status]],4,FALSE)</f>
        <v>W &lt;small&gt;(Mon)&lt;/small&gt;</v>
      </c>
      <c r="D166" s="17" t="str">
        <f>VLOOKUP(Table4[[#This Row],[Name]],Table1[[Player]:[FP/G]],3,FALSE)</f>
        <v>D</v>
      </c>
      <c r="E166" s="17">
        <f>VLOOKUP(Table4[[#This Row],[Name]],Table1[[Player]:[Age]],5,FALSE)</f>
        <v>32</v>
      </c>
      <c r="F166" s="10">
        <f>MAX(
  _xlfn.IFNA(_xlfn.XLOOKUP(B166,'C'!B:B,'C'!E:E),  -1000000000),
  _xlfn.IFNA(_xlfn.XLOOKUP(B166, LW!B:B, LW!E:E), -1000000000),
  _xlfn.IFNA(_xlfn.XLOOKUP(B166, RW!B:B, RW!E:E), -1000000000),
  _xlfn.IFNA(_xlfn.XLOOKUP(B166, D!B:B,  D!E:E),  -1000000000)
)</f>
        <v>0.44016120251090962</v>
      </c>
    </row>
    <row r="167" spans="2:6" x14ac:dyDescent="0.25">
      <c r="B167" t="s">
        <v>1598</v>
      </c>
      <c r="C167" s="17" t="str">
        <f>VLOOKUP(Table4[[#This Row],[Name]],Table1[[Player]:[Status]],4,FALSE)</f>
        <v>Daniel</v>
      </c>
      <c r="D167" s="17" t="str">
        <f>VLOOKUP(Table4[[#This Row],[Name]],Table1[[Player]:[FP/G]],3,FALSE)</f>
        <v>D</v>
      </c>
      <c r="E167" s="17">
        <f>VLOOKUP(Table4[[#This Row],[Name]],Table1[[Player]:[Age]],5,FALSE)</f>
        <v>22</v>
      </c>
      <c r="F167" s="10">
        <f>MAX(
  _xlfn.IFNA(_xlfn.XLOOKUP(B167,'C'!B:B,'C'!E:E),  -1000000000),
  _xlfn.IFNA(_xlfn.XLOOKUP(B167, LW!B:B, LW!E:E), -1000000000),
  _xlfn.IFNA(_xlfn.XLOOKUP(B167, RW!B:B, RW!E:E), -1000000000),
  _xlfn.IFNA(_xlfn.XLOOKUP(B167, D!B:B,  D!E:E),  -1000000000)
)</f>
        <v>0.43738307312436975</v>
      </c>
    </row>
    <row r="168" spans="2:6" x14ac:dyDescent="0.25">
      <c r="B168" t="s">
        <v>580</v>
      </c>
      <c r="C168" s="17" t="str">
        <f>VLOOKUP(Table4[[#This Row],[Name]],Table1[[Player]:[Status]],4,FALSE)</f>
        <v>Nate</v>
      </c>
      <c r="D168" s="17" t="str">
        <f>VLOOKUP(Table4[[#This Row],[Name]],Table1[[Player]:[FP/G]],3,FALSE)</f>
        <v>D</v>
      </c>
      <c r="E168" s="17">
        <f>VLOOKUP(Table4[[#This Row],[Name]],Table1[[Player]:[Age]],5,FALSE)</f>
        <v>22</v>
      </c>
      <c r="F168" s="10">
        <f>MAX(
  _xlfn.IFNA(_xlfn.XLOOKUP(B168,'C'!B:B,'C'!E:E),  -1000000000),
  _xlfn.IFNA(_xlfn.XLOOKUP(B168, LW!B:B, LW!E:E), -1000000000),
  _xlfn.IFNA(_xlfn.XLOOKUP(B168, RW!B:B, RW!E:E), -1000000000),
  _xlfn.IFNA(_xlfn.XLOOKUP(B168, D!B:B,  D!E:E),  -1000000000)
)</f>
        <v>0.42568009995894984</v>
      </c>
    </row>
    <row r="169" spans="2:6" x14ac:dyDescent="0.25">
      <c r="B169" t="s">
        <v>484</v>
      </c>
      <c r="C169" s="17" t="str">
        <f>VLOOKUP(Table4[[#This Row],[Name]],Table1[[Player]:[Status]],4,FALSE)</f>
        <v>Murica</v>
      </c>
      <c r="D169" s="17" t="str">
        <f>VLOOKUP(Table4[[#This Row],[Name]],Table1[[Player]:[FP/G]],3,FALSE)</f>
        <v>D</v>
      </c>
      <c r="E169" s="17">
        <f>VLOOKUP(Table4[[#This Row],[Name]],Table1[[Player]:[Age]],5,FALSE)</f>
        <v>28</v>
      </c>
      <c r="F169" s="10">
        <f>MAX(
  _xlfn.IFNA(_xlfn.XLOOKUP(B169,'C'!B:B,'C'!E:E),  -1000000000),
  _xlfn.IFNA(_xlfn.XLOOKUP(B169, LW!B:B, LW!E:E), -1000000000),
  _xlfn.IFNA(_xlfn.XLOOKUP(B169, RW!B:B, RW!E:E), -1000000000),
  _xlfn.IFNA(_xlfn.XLOOKUP(B169, D!B:B,  D!E:E),  -1000000000)
)</f>
        <v>0.40427640019736</v>
      </c>
    </row>
    <row r="170" spans="2:6" x14ac:dyDescent="0.25">
      <c r="B170" t="s">
        <v>69</v>
      </c>
      <c r="C170" s="17" t="str">
        <f>VLOOKUP(Table4[[#This Row],[Name]],Table1[[Player]:[Status]],4,FALSE)</f>
        <v>Seth</v>
      </c>
      <c r="D170" s="17" t="str">
        <f>VLOOKUP(Table4[[#This Row],[Name]],Table1[[Player]:[FP/G]],3,FALSE)</f>
        <v>RW</v>
      </c>
      <c r="E170" s="17">
        <f>VLOOKUP(Table4[[#This Row],[Name]],Table1[[Player]:[Age]],5,FALSE)</f>
        <v>34</v>
      </c>
      <c r="F170" s="10">
        <f>MAX(
  _xlfn.IFNA(_xlfn.XLOOKUP(B170,'C'!B:B,'C'!E:E),  -1000000000),
  _xlfn.IFNA(_xlfn.XLOOKUP(B170, LW!B:B, LW!E:E), -1000000000),
  _xlfn.IFNA(_xlfn.XLOOKUP(B170, RW!B:B, RW!E:E), -1000000000),
  _xlfn.IFNA(_xlfn.XLOOKUP(B170, D!B:B,  D!E:E),  -1000000000)
)</f>
        <v>0.40135006680324992</v>
      </c>
    </row>
    <row r="171" spans="2:6" x14ac:dyDescent="0.25">
      <c r="B171" t="s">
        <v>127</v>
      </c>
      <c r="C171" s="17" t="str">
        <f>VLOOKUP(Table4[[#This Row],[Name]],Table1[[Player]:[Status]],4,FALSE)</f>
        <v>Jason</v>
      </c>
      <c r="D171" s="17" t="str">
        <f>VLOOKUP(Table4[[#This Row],[Name]],Table1[[Player]:[FP/G]],3,FALSE)</f>
        <v>RW</v>
      </c>
      <c r="E171" s="17">
        <f>VLOOKUP(Table4[[#This Row],[Name]],Table1[[Player]:[Age]],5,FALSE)</f>
        <v>33</v>
      </c>
      <c r="F171" s="10">
        <f>MAX(
  _xlfn.IFNA(_xlfn.XLOOKUP(B171,'C'!B:B,'C'!E:E),  -1000000000),
  _xlfn.IFNA(_xlfn.XLOOKUP(B171, LW!B:B, LW!E:E), -1000000000),
  _xlfn.IFNA(_xlfn.XLOOKUP(B171, RW!B:B, RW!E:E), -1000000000),
  _xlfn.IFNA(_xlfn.XLOOKUP(B171, D!B:B,  D!E:E),  -1000000000)
)</f>
        <v>0.39377418489061977</v>
      </c>
    </row>
    <row r="172" spans="2:6" x14ac:dyDescent="0.25">
      <c r="B172" t="s">
        <v>1604</v>
      </c>
      <c r="C172" s="17" t="str">
        <f>VLOOKUP(Table4[[#This Row],[Name]],Table1[[Player]:[Status]],4,FALSE)</f>
        <v>Sam</v>
      </c>
      <c r="D172" s="17" t="str">
        <f>VLOOKUP(Table4[[#This Row],[Name]],Table1[[Player]:[FP/G]],3,FALSE)</f>
        <v>LW,RW</v>
      </c>
      <c r="E172" s="17">
        <f>VLOOKUP(Table4[[#This Row],[Name]],Table1[[Player]:[Age]],5,FALSE)</f>
        <v>29</v>
      </c>
      <c r="F172" s="10">
        <f>MAX(
  _xlfn.IFNA(_xlfn.XLOOKUP(B172,'C'!B:B,'C'!E:E),  -1000000000),
  _xlfn.IFNA(_xlfn.XLOOKUP(B172, LW!B:B, LW!E:E), -1000000000),
  _xlfn.IFNA(_xlfn.XLOOKUP(B172, RW!B:B, RW!E:E), -1000000000),
  _xlfn.IFNA(_xlfn.XLOOKUP(B172, D!B:B,  D!E:E),  -1000000000)
)</f>
        <v>0.39132225160965017</v>
      </c>
    </row>
    <row r="173" spans="2:6" x14ac:dyDescent="0.25">
      <c r="B173" t="s">
        <v>300</v>
      </c>
      <c r="C173" s="17" t="str">
        <f>VLOOKUP(Table4[[#This Row],[Name]],Table1[[Player]:[Status]],4,FALSE)</f>
        <v>Murica</v>
      </c>
      <c r="D173" s="17" t="str">
        <f>VLOOKUP(Table4[[#This Row],[Name]],Table1[[Player]:[FP/G]],3,FALSE)</f>
        <v>C,RW</v>
      </c>
      <c r="E173" s="17">
        <f>VLOOKUP(Table4[[#This Row],[Name]],Table1[[Player]:[Age]],5,FALSE)</f>
        <v>33</v>
      </c>
      <c r="F173" s="10">
        <f>MAX(
  _xlfn.IFNA(_xlfn.XLOOKUP(B173,'C'!B:B,'C'!E:E),  -1000000000),
  _xlfn.IFNA(_xlfn.XLOOKUP(B173, LW!B:B, LW!E:E), -1000000000),
  _xlfn.IFNA(_xlfn.XLOOKUP(B173, RW!B:B, RW!E:E), -1000000000),
  _xlfn.IFNA(_xlfn.XLOOKUP(B173, D!B:B,  D!E:E),  -1000000000)
)</f>
        <v>0.3854969811411797</v>
      </c>
    </row>
    <row r="174" spans="2:6" x14ac:dyDescent="0.25">
      <c r="B174" t="s">
        <v>372</v>
      </c>
      <c r="C174" s="17" t="str">
        <f>VLOOKUP(Table4[[#This Row],[Name]],Table1[[Player]:[Status]],4,FALSE)</f>
        <v>Adam</v>
      </c>
      <c r="D174" s="17" t="str">
        <f>VLOOKUP(Table4[[#This Row],[Name]],Table1[[Player]:[FP/G]],3,FALSE)</f>
        <v>C</v>
      </c>
      <c r="E174" s="17">
        <f>VLOOKUP(Table4[[#This Row],[Name]],Table1[[Player]:[Age]],5,FALSE)</f>
        <v>22</v>
      </c>
      <c r="F174" s="10">
        <f>MAX(
  _xlfn.IFNA(_xlfn.XLOOKUP(B174,'C'!B:B,'C'!E:E),  -1000000000),
  _xlfn.IFNA(_xlfn.XLOOKUP(B174, LW!B:B, LW!E:E), -1000000000),
  _xlfn.IFNA(_xlfn.XLOOKUP(B174, RW!B:B, RW!E:E), -1000000000),
  _xlfn.IFNA(_xlfn.XLOOKUP(B174, D!B:B,  D!E:E),  -1000000000)
)</f>
        <v>0.36989585954369986</v>
      </c>
    </row>
    <row r="175" spans="2:6" x14ac:dyDescent="0.25">
      <c r="B175" t="s">
        <v>534</v>
      </c>
      <c r="C175" s="17" t="str">
        <f>VLOOKUP(Table4[[#This Row],[Name]],Table1[[Player]:[Status]],4,FALSE)</f>
        <v>Adam</v>
      </c>
      <c r="D175" s="17" t="str">
        <f>VLOOKUP(Table4[[#This Row],[Name]],Table1[[Player]:[FP/G]],3,FALSE)</f>
        <v>D</v>
      </c>
      <c r="E175" s="17">
        <f>VLOOKUP(Table4[[#This Row],[Name]],Table1[[Player]:[Age]],5,FALSE)</f>
        <v>31</v>
      </c>
      <c r="F175" s="10">
        <f>MAX(
  _xlfn.IFNA(_xlfn.XLOOKUP(B175,'C'!B:B,'C'!E:E),  -1000000000),
  _xlfn.IFNA(_xlfn.XLOOKUP(B175, LW!B:B, LW!E:E), -1000000000),
  _xlfn.IFNA(_xlfn.XLOOKUP(B175, RW!B:B, RW!E:E), -1000000000),
  _xlfn.IFNA(_xlfn.XLOOKUP(B175, D!B:B,  D!E:E),  -1000000000)
)</f>
        <v>0.36435398124117979</v>
      </c>
    </row>
    <row r="176" spans="2:6" x14ac:dyDescent="0.25">
      <c r="B176" t="s">
        <v>312</v>
      </c>
      <c r="C176" s="17" t="str">
        <f>VLOOKUP(Table4[[#This Row],[Name]],Table1[[Player]:[Status]],4,FALSE)</f>
        <v>Joel</v>
      </c>
      <c r="D176" s="17" t="str">
        <f>VLOOKUP(Table4[[#This Row],[Name]],Table1[[Player]:[FP/G]],3,FALSE)</f>
        <v>LW,RW</v>
      </c>
      <c r="E176" s="17">
        <f>VLOOKUP(Table4[[#This Row],[Name]],Table1[[Player]:[Age]],5,FALSE)</f>
        <v>30</v>
      </c>
      <c r="F176" s="10">
        <f>MAX(
  _xlfn.IFNA(_xlfn.XLOOKUP(B176,'C'!B:B,'C'!E:E),  -1000000000),
  _xlfn.IFNA(_xlfn.XLOOKUP(B176, LW!B:B, LW!E:E), -1000000000),
  _xlfn.IFNA(_xlfn.XLOOKUP(B176, RW!B:B, RW!E:E), -1000000000),
  _xlfn.IFNA(_xlfn.XLOOKUP(B176, D!B:B,  D!E:E),  -1000000000)
)</f>
        <v>0.35599037716808013</v>
      </c>
    </row>
    <row r="177" spans="2:6" x14ac:dyDescent="0.25">
      <c r="B177" t="s">
        <v>310</v>
      </c>
      <c r="C177" s="17" t="str">
        <f>VLOOKUP(Table4[[#This Row],[Name]],Table1[[Player]:[Status]],4,FALSE)</f>
        <v>Chris</v>
      </c>
      <c r="D177" s="17" t="str">
        <f>VLOOKUP(Table4[[#This Row],[Name]],Table1[[Player]:[FP/G]],3,FALSE)</f>
        <v>C</v>
      </c>
      <c r="E177" s="17">
        <f>VLOOKUP(Table4[[#This Row],[Name]],Table1[[Player]:[Age]],5,FALSE)</f>
        <v>24</v>
      </c>
      <c r="F177" s="10">
        <f>MAX(
  _xlfn.IFNA(_xlfn.XLOOKUP(B177,'C'!B:B,'C'!E:E),  -1000000000),
  _xlfn.IFNA(_xlfn.XLOOKUP(B177, LW!B:B, LW!E:E), -1000000000),
  _xlfn.IFNA(_xlfn.XLOOKUP(B177, RW!B:B, RW!E:E), -1000000000),
  _xlfn.IFNA(_xlfn.XLOOKUP(B177, D!B:B,  D!E:E),  -1000000000)
)</f>
        <v>0.35100507121535962</v>
      </c>
    </row>
    <row r="178" spans="2:6" x14ac:dyDescent="0.25">
      <c r="B178" t="s">
        <v>504</v>
      </c>
      <c r="C178" s="17" t="str">
        <f>VLOOKUP(Table4[[#This Row],[Name]],Table1[[Player]:[Status]],4,FALSE)</f>
        <v>Adam</v>
      </c>
      <c r="D178" s="17" t="str">
        <f>VLOOKUP(Table4[[#This Row],[Name]],Table1[[Player]:[FP/G]],3,FALSE)</f>
        <v>D</v>
      </c>
      <c r="E178" s="17">
        <f>VLOOKUP(Table4[[#This Row],[Name]],Table1[[Player]:[Age]],5,FALSE)</f>
        <v>25</v>
      </c>
      <c r="F178" s="10">
        <f>MAX(
  _xlfn.IFNA(_xlfn.XLOOKUP(B178,'C'!B:B,'C'!E:E),  -1000000000),
  _xlfn.IFNA(_xlfn.XLOOKUP(B178, LW!B:B, LW!E:E), -1000000000),
  _xlfn.IFNA(_xlfn.XLOOKUP(B178, RW!B:B, RW!E:E), -1000000000),
  _xlfn.IFNA(_xlfn.XLOOKUP(B178, D!B:B,  D!E:E),  -1000000000)
)</f>
        <v>0.3412068336262899</v>
      </c>
    </row>
    <row r="179" spans="2:6" x14ac:dyDescent="0.25">
      <c r="B179" t="s">
        <v>1580</v>
      </c>
      <c r="C179" s="17" t="str">
        <f>VLOOKUP(Table4[[#This Row],[Name]],Table1[[Player]:[Status]],4,FALSE)</f>
        <v>Daniel</v>
      </c>
      <c r="D179" s="17" t="str">
        <f>VLOOKUP(Table4[[#This Row],[Name]],Table1[[Player]:[FP/G]],3,FALSE)</f>
        <v>LW</v>
      </c>
      <c r="E179" s="17">
        <f>VLOOKUP(Table4[[#This Row],[Name]],Table1[[Player]:[Age]],5,FALSE)</f>
        <v>23</v>
      </c>
      <c r="F179" s="10">
        <f>MAX(
  _xlfn.IFNA(_xlfn.XLOOKUP(B179,'C'!B:B,'C'!E:E),  -1000000000),
  _xlfn.IFNA(_xlfn.XLOOKUP(B179, LW!B:B, LW!E:E), -1000000000),
  _xlfn.IFNA(_xlfn.XLOOKUP(B179, RW!B:B, RW!E:E), -1000000000),
  _xlfn.IFNA(_xlfn.XLOOKUP(B179, D!B:B,  D!E:E),  -1000000000)
)</f>
        <v>0.31486394353016056</v>
      </c>
    </row>
    <row r="180" spans="2:6" x14ac:dyDescent="0.25">
      <c r="B180" t="s">
        <v>616</v>
      </c>
      <c r="C180" s="17" t="str">
        <f>VLOOKUP(Table4[[#This Row],[Name]],Table1[[Player]:[Status]],4,FALSE)</f>
        <v>W &lt;small&gt;(Mon)&lt;/small&gt;</v>
      </c>
      <c r="D180" s="17" t="str">
        <f>VLOOKUP(Table4[[#This Row],[Name]],Table1[[Player]:[FP/G]],3,FALSE)</f>
        <v>D</v>
      </c>
      <c r="E180" s="17">
        <f>VLOOKUP(Table4[[#This Row],[Name]],Table1[[Player]:[Age]],5,FALSE)</f>
        <v>29</v>
      </c>
      <c r="F180" s="10">
        <f>MAX(
  _xlfn.IFNA(_xlfn.XLOOKUP(B180,'C'!B:B,'C'!E:E),  -1000000000),
  _xlfn.IFNA(_xlfn.XLOOKUP(B180, LW!B:B, LW!E:E), -1000000000),
  _xlfn.IFNA(_xlfn.XLOOKUP(B180, RW!B:B, RW!E:E), -1000000000),
  _xlfn.IFNA(_xlfn.XLOOKUP(B180, D!B:B,  D!E:E),  -1000000000)
)</f>
        <v>0.24260967970051972</v>
      </c>
    </row>
    <row r="181" spans="2:6" x14ac:dyDescent="0.25">
      <c r="B181" t="s">
        <v>490</v>
      </c>
      <c r="C181" s="17" t="str">
        <f>VLOOKUP(Table4[[#This Row],[Name]],Table1[[Player]:[Status]],4,FALSE)</f>
        <v>W &lt;small&gt;(Mon)&lt;/small&gt;</v>
      </c>
      <c r="D181" s="17" t="str">
        <f>VLOOKUP(Table4[[#This Row],[Name]],Table1[[Player]:[FP/G]],3,FALSE)</f>
        <v>D</v>
      </c>
      <c r="E181" s="17">
        <f>VLOOKUP(Table4[[#This Row],[Name]],Table1[[Player]:[Age]],5,FALSE)</f>
        <v>30</v>
      </c>
      <c r="F181" s="10">
        <f>MAX(
  _xlfn.IFNA(_xlfn.XLOOKUP(B181,'C'!B:B,'C'!E:E),  -1000000000),
  _xlfn.IFNA(_xlfn.XLOOKUP(B181, LW!B:B, LW!E:E), -1000000000),
  _xlfn.IFNA(_xlfn.XLOOKUP(B181, RW!B:B, RW!E:E), -1000000000),
  _xlfn.IFNA(_xlfn.XLOOKUP(B181, D!B:B,  D!E:E),  -1000000000)
)</f>
        <v>0.24162080567173971</v>
      </c>
    </row>
    <row r="182" spans="2:6" x14ac:dyDescent="0.25">
      <c r="B182" t="s">
        <v>1600</v>
      </c>
      <c r="C182" s="17" t="str">
        <f>VLOOKUP(Table4[[#This Row],[Name]],Table1[[Player]:[Status]],4,FALSE)</f>
        <v>Isaac</v>
      </c>
      <c r="D182" s="17" t="str">
        <f>VLOOKUP(Table4[[#This Row],[Name]],Table1[[Player]:[FP/G]],3,FALSE)</f>
        <v>D</v>
      </c>
      <c r="E182" s="17">
        <f>VLOOKUP(Table4[[#This Row],[Name]],Table1[[Player]:[Age]],5,FALSE)</f>
        <v>23</v>
      </c>
      <c r="F182" s="10">
        <f>MAX(
  _xlfn.IFNA(_xlfn.XLOOKUP(B182,'C'!B:B,'C'!E:E),  -1000000000),
  _xlfn.IFNA(_xlfn.XLOOKUP(B182, LW!B:B, LW!E:E), -1000000000),
  _xlfn.IFNA(_xlfn.XLOOKUP(B182, RW!B:B, RW!E:E), -1000000000),
  _xlfn.IFNA(_xlfn.XLOOKUP(B182, D!B:B,  D!E:E),  -1000000000)
)</f>
        <v>0.23165580968832966</v>
      </c>
    </row>
    <row r="183" spans="2:6" x14ac:dyDescent="0.25">
      <c r="B183" t="s">
        <v>358</v>
      </c>
      <c r="C183" s="17" t="str">
        <f>VLOOKUP(Table4[[#This Row],[Name]],Table1[[Player]:[Status]],4,FALSE)</f>
        <v>Gary</v>
      </c>
      <c r="D183" s="17" t="str">
        <f>VLOOKUP(Table4[[#This Row],[Name]],Table1[[Player]:[FP/G]],3,FALSE)</f>
        <v>C,RW</v>
      </c>
      <c r="E183" s="17">
        <f>VLOOKUP(Table4[[#This Row],[Name]],Table1[[Player]:[Age]],5,FALSE)</f>
        <v>33</v>
      </c>
      <c r="F183" s="10">
        <f>MAX(
  _xlfn.IFNA(_xlfn.XLOOKUP(B183,'C'!B:B,'C'!E:E),  -1000000000),
  _xlfn.IFNA(_xlfn.XLOOKUP(B183, LW!B:B, LW!E:E), -1000000000),
  _xlfn.IFNA(_xlfn.XLOOKUP(B183, RW!B:B, RW!E:E), -1000000000),
  _xlfn.IFNA(_xlfn.XLOOKUP(B183, D!B:B,  D!E:E),  -1000000000)
)</f>
        <v>0.22272761285903986</v>
      </c>
    </row>
    <row r="184" spans="2:6" x14ac:dyDescent="0.25">
      <c r="B184" t="s">
        <v>702</v>
      </c>
      <c r="C184" s="17" t="str">
        <f>VLOOKUP(Table4[[#This Row],[Name]],Table1[[Player]:[Status]],4,FALSE)</f>
        <v>W &lt;small&gt;(Mon)&lt;/small&gt;</v>
      </c>
      <c r="D184" s="17" t="str">
        <f>VLOOKUP(Table4[[#This Row],[Name]],Table1[[Player]:[FP/G]],3,FALSE)</f>
        <v>D</v>
      </c>
      <c r="E184" s="17">
        <f>VLOOKUP(Table4[[#This Row],[Name]],Table1[[Player]:[Age]],5,FALSE)</f>
        <v>34</v>
      </c>
      <c r="F184" s="10">
        <f>MAX(
  _xlfn.IFNA(_xlfn.XLOOKUP(B184,'C'!B:B,'C'!E:E),  -1000000000),
  _xlfn.IFNA(_xlfn.XLOOKUP(B184, LW!B:B, LW!E:E), -1000000000),
  _xlfn.IFNA(_xlfn.XLOOKUP(B184, RW!B:B, RW!E:E), -1000000000),
  _xlfn.IFNA(_xlfn.XLOOKUP(B184, D!B:B,  D!E:E),  -1000000000)
)</f>
        <v>0.21639601415437992</v>
      </c>
    </row>
    <row r="185" spans="2:6" x14ac:dyDescent="0.25">
      <c r="B185" t="s">
        <v>1588</v>
      </c>
      <c r="C185" s="17" t="str">
        <f>VLOOKUP(Table4[[#This Row],[Name]],Table1[[Player]:[Status]],4,FALSE)</f>
        <v>Murica</v>
      </c>
      <c r="D185" s="17" t="str">
        <f>VLOOKUP(Table4[[#This Row],[Name]],Table1[[Player]:[FP/G]],3,FALSE)</f>
        <v>D</v>
      </c>
      <c r="E185" s="17">
        <f>VLOOKUP(Table4[[#This Row],[Name]],Table1[[Player]:[Age]],5,FALSE)</f>
        <v>24</v>
      </c>
      <c r="F185" s="10">
        <f>MAX(
  _xlfn.IFNA(_xlfn.XLOOKUP(B185,'C'!B:B,'C'!E:E),  -1000000000),
  _xlfn.IFNA(_xlfn.XLOOKUP(B185, LW!B:B, LW!E:E), -1000000000),
  _xlfn.IFNA(_xlfn.XLOOKUP(B185, RW!B:B, RW!E:E), -1000000000),
  _xlfn.IFNA(_xlfn.XLOOKUP(B185, D!B:B,  D!E:E),  -1000000000)
)</f>
        <v>0.21483529129090995</v>
      </c>
    </row>
    <row r="186" spans="2:6" x14ac:dyDescent="0.25">
      <c r="B186" t="s">
        <v>528</v>
      </c>
      <c r="C186" s="17" t="str">
        <f>VLOOKUP(Table4[[#This Row],[Name]],Table1[[Player]:[Status]],4,FALSE)</f>
        <v>W &lt;small&gt;(Mon)&lt;/small&gt;</v>
      </c>
      <c r="D186" s="17" t="str">
        <f>VLOOKUP(Table4[[#This Row],[Name]],Table1[[Player]:[FP/G]],3,FALSE)</f>
        <v>D</v>
      </c>
      <c r="E186" s="17">
        <f>VLOOKUP(Table4[[#This Row],[Name]],Table1[[Player]:[Age]],5,FALSE)</f>
        <v>31</v>
      </c>
      <c r="F186" s="10">
        <f>MAX(
  _xlfn.IFNA(_xlfn.XLOOKUP(B186,'C'!B:B,'C'!E:E),  -1000000000),
  _xlfn.IFNA(_xlfn.XLOOKUP(B186, LW!B:B, LW!E:E), -1000000000),
  _xlfn.IFNA(_xlfn.XLOOKUP(B186, RW!B:B, RW!E:E), -1000000000),
  _xlfn.IFNA(_xlfn.XLOOKUP(B186, D!B:B,  D!E:E),  -1000000000)
)</f>
        <v>0.21063953126586998</v>
      </c>
    </row>
    <row r="187" spans="2:6" x14ac:dyDescent="0.25">
      <c r="B187" t="s">
        <v>538</v>
      </c>
      <c r="C187" s="17" t="str">
        <f>VLOOKUP(Table4[[#This Row],[Name]],Table1[[Player]:[Status]],4,FALSE)</f>
        <v>W &lt;small&gt;(Mon)&lt;/small&gt;</v>
      </c>
      <c r="D187" s="17" t="str">
        <f>VLOOKUP(Table4[[#This Row],[Name]],Table1[[Player]:[FP/G]],3,FALSE)</f>
        <v>D</v>
      </c>
      <c r="E187" s="17">
        <f>VLOOKUP(Table4[[#This Row],[Name]],Table1[[Player]:[Age]],5,FALSE)</f>
        <v>25</v>
      </c>
      <c r="F187" s="10">
        <f>MAX(
  _xlfn.IFNA(_xlfn.XLOOKUP(B187,'C'!B:B,'C'!E:E),  -1000000000),
  _xlfn.IFNA(_xlfn.XLOOKUP(B187, LW!B:B, LW!E:E), -1000000000),
  _xlfn.IFNA(_xlfn.XLOOKUP(B187, RW!B:B, RW!E:E), -1000000000),
  _xlfn.IFNA(_xlfn.XLOOKUP(B187, D!B:B,  D!E:E),  -1000000000)
)</f>
        <v>0.2102161826811999</v>
      </c>
    </row>
    <row r="188" spans="2:6" x14ac:dyDescent="0.25">
      <c r="B188" t="s">
        <v>344</v>
      </c>
      <c r="C188" s="17" t="str">
        <f>VLOOKUP(Table4[[#This Row],[Name]],Table1[[Player]:[Status]],4,FALSE)</f>
        <v>Gary</v>
      </c>
      <c r="D188" s="17" t="str">
        <f>VLOOKUP(Table4[[#This Row],[Name]],Table1[[Player]:[FP/G]],3,FALSE)</f>
        <v>LW</v>
      </c>
      <c r="E188" s="17">
        <f>VLOOKUP(Table4[[#This Row],[Name]],Table1[[Player]:[Age]],5,FALSE)</f>
        <v>29</v>
      </c>
      <c r="F188" s="10">
        <f>MAX(
  _xlfn.IFNA(_xlfn.XLOOKUP(B188,'C'!B:B,'C'!E:E),  -1000000000),
  _xlfn.IFNA(_xlfn.XLOOKUP(B188, LW!B:B, LW!E:E), -1000000000),
  _xlfn.IFNA(_xlfn.XLOOKUP(B188, RW!B:B, RW!E:E), -1000000000),
  _xlfn.IFNA(_xlfn.XLOOKUP(B188, D!B:B,  D!E:E),  -1000000000)
)</f>
        <v>0.18967921011402034</v>
      </c>
    </row>
    <row r="189" spans="2:6" x14ac:dyDescent="0.25">
      <c r="B189" t="s">
        <v>550</v>
      </c>
      <c r="C189" s="17" t="str">
        <f>VLOOKUP(Table4[[#This Row],[Name]],Table1[[Player]:[Status]],4,FALSE)</f>
        <v>Murica</v>
      </c>
      <c r="D189" s="17" t="str">
        <f>VLOOKUP(Table4[[#This Row],[Name]],Table1[[Player]:[FP/G]],3,FALSE)</f>
        <v>C,LW,RW</v>
      </c>
      <c r="E189" s="17">
        <f>VLOOKUP(Table4[[#This Row],[Name]],Table1[[Player]:[Age]],5,FALSE)</f>
        <v>29</v>
      </c>
      <c r="F189" s="10">
        <f>MAX(
  _xlfn.IFNA(_xlfn.XLOOKUP(B189,'C'!B:B,'C'!E:E),  -1000000000),
  _xlfn.IFNA(_xlfn.XLOOKUP(B189, LW!B:B, LW!E:E), -1000000000),
  _xlfn.IFNA(_xlfn.XLOOKUP(B189, RW!B:B, RW!E:E), -1000000000),
  _xlfn.IFNA(_xlfn.XLOOKUP(B189, D!B:B,  D!E:E),  -1000000000)
)</f>
        <v>0.1881926790265096</v>
      </c>
    </row>
    <row r="190" spans="2:6" x14ac:dyDescent="0.25">
      <c r="B190" t="s">
        <v>292</v>
      </c>
      <c r="C190" s="17" t="str">
        <f>VLOOKUP(Table4[[#This Row],[Name]],Table1[[Player]:[Status]],4,FALSE)</f>
        <v>W &lt;small&gt;(Mon)&lt;/small&gt;</v>
      </c>
      <c r="D190" s="17" t="str">
        <f>VLOOKUP(Table4[[#This Row],[Name]],Table1[[Player]:[FP/G]],3,FALSE)</f>
        <v>LW,RW</v>
      </c>
      <c r="E190" s="17">
        <f>VLOOKUP(Table4[[#This Row],[Name]],Table1[[Player]:[Age]],5,FALSE)</f>
        <v>30</v>
      </c>
      <c r="F190" s="10">
        <f>MAX(
  _xlfn.IFNA(_xlfn.XLOOKUP(B190,'C'!B:B,'C'!E:E),  -1000000000),
  _xlfn.IFNA(_xlfn.XLOOKUP(B190, LW!B:B, LW!E:E), -1000000000),
  _xlfn.IFNA(_xlfn.XLOOKUP(B190, RW!B:B, RW!E:E), -1000000000),
  _xlfn.IFNA(_xlfn.XLOOKUP(B190, D!B:B,  D!E:E),  -1000000000)
)</f>
        <v>0.17855519426251032</v>
      </c>
    </row>
    <row r="191" spans="2:6" x14ac:dyDescent="0.25">
      <c r="B191" t="s">
        <v>500</v>
      </c>
      <c r="C191" s="17" t="str">
        <f>VLOOKUP(Table4[[#This Row],[Name]],Table1[[Player]:[Status]],4,FALSE)</f>
        <v>W &lt;small&gt;(Mon)&lt;/small&gt;</v>
      </c>
      <c r="D191" s="17" t="str">
        <f>VLOOKUP(Table4[[#This Row],[Name]],Table1[[Player]:[FP/G]],3,FALSE)</f>
        <v>D</v>
      </c>
      <c r="E191" s="17">
        <f>VLOOKUP(Table4[[#This Row],[Name]],Table1[[Player]:[Age]],5,FALSE)</f>
        <v>35</v>
      </c>
      <c r="F191" s="10">
        <f>MAX(
  _xlfn.IFNA(_xlfn.XLOOKUP(B191,'C'!B:B,'C'!E:E),  -1000000000),
  _xlfn.IFNA(_xlfn.XLOOKUP(B191, LW!B:B, LW!E:E), -1000000000),
  _xlfn.IFNA(_xlfn.XLOOKUP(B191, RW!B:B, RW!E:E), -1000000000),
  _xlfn.IFNA(_xlfn.XLOOKUP(B191, D!B:B,  D!E:E),  -1000000000)
)</f>
        <v>0.1751719462319099</v>
      </c>
    </row>
    <row r="192" spans="2:6" x14ac:dyDescent="0.25">
      <c r="B192" t="s">
        <v>756</v>
      </c>
      <c r="C192" s="17" t="str">
        <f>VLOOKUP(Table4[[#This Row],[Name]],Table1[[Player]:[Status]],4,FALSE)</f>
        <v>Abby</v>
      </c>
      <c r="D192" s="17" t="str">
        <f>VLOOKUP(Table4[[#This Row],[Name]],Table1[[Player]:[FP/G]],3,FALSE)</f>
        <v>D</v>
      </c>
      <c r="E192" s="17">
        <f>VLOOKUP(Table4[[#This Row],[Name]],Table1[[Player]:[Age]],5,FALSE)</f>
        <v>35</v>
      </c>
      <c r="F192" s="10">
        <f>MAX(
  _xlfn.IFNA(_xlfn.XLOOKUP(B192,'C'!B:B,'C'!E:E),  -1000000000),
  _xlfn.IFNA(_xlfn.XLOOKUP(B192, LW!B:B, LW!E:E), -1000000000),
  _xlfn.IFNA(_xlfn.XLOOKUP(B192, RW!B:B, RW!E:E), -1000000000),
  _xlfn.IFNA(_xlfn.XLOOKUP(B192, D!B:B,  D!E:E),  -1000000000)
)</f>
        <v>0.15961312698158991</v>
      </c>
    </row>
    <row r="193" spans="2:6" x14ac:dyDescent="0.25">
      <c r="B193" t="s">
        <v>544</v>
      </c>
      <c r="C193" s="17" t="str">
        <f>VLOOKUP(Table4[[#This Row],[Name]],Table1[[Player]:[Status]],4,FALSE)</f>
        <v>Gary</v>
      </c>
      <c r="D193" s="17" t="str">
        <f>VLOOKUP(Table4[[#This Row],[Name]],Table1[[Player]:[FP/G]],3,FALSE)</f>
        <v>D</v>
      </c>
      <c r="E193" s="17">
        <f>VLOOKUP(Table4[[#This Row],[Name]],Table1[[Player]:[Age]],5,FALSE)</f>
        <v>33</v>
      </c>
      <c r="F193" s="10">
        <f>MAX(
  _xlfn.IFNA(_xlfn.XLOOKUP(B193,'C'!B:B,'C'!E:E),  -1000000000),
  _xlfn.IFNA(_xlfn.XLOOKUP(B193, LW!B:B, LW!E:E), -1000000000),
  _xlfn.IFNA(_xlfn.XLOOKUP(B193, RW!B:B, RW!E:E), -1000000000),
  _xlfn.IFNA(_xlfn.XLOOKUP(B193, D!B:B,  D!E:E),  -1000000000)
)</f>
        <v>0.15735964332649965</v>
      </c>
    </row>
    <row r="194" spans="2:6" x14ac:dyDescent="0.25">
      <c r="B194" t="s">
        <v>199</v>
      </c>
      <c r="C194" s="17" t="str">
        <f>VLOOKUP(Table4[[#This Row],[Name]],Table1[[Player]:[Status]],4,FALSE)</f>
        <v>W &lt;small&gt;(Mon)&lt;/small&gt;</v>
      </c>
      <c r="D194" s="17" t="str">
        <f>VLOOKUP(Table4[[#This Row],[Name]],Table1[[Player]:[FP/G]],3,FALSE)</f>
        <v>LW,RW</v>
      </c>
      <c r="E194" s="17">
        <f>VLOOKUP(Table4[[#This Row],[Name]],Table1[[Player]:[Age]],5,FALSE)</f>
        <v>36</v>
      </c>
      <c r="F194" s="10">
        <f>MAX(
  _xlfn.IFNA(_xlfn.XLOOKUP(B194,'C'!B:B,'C'!E:E),  -1000000000),
  _xlfn.IFNA(_xlfn.XLOOKUP(B194, LW!B:B, LW!E:E), -1000000000),
  _xlfn.IFNA(_xlfn.XLOOKUP(B194, RW!B:B, RW!E:E), -1000000000),
  _xlfn.IFNA(_xlfn.XLOOKUP(B194, D!B:B,  D!E:E),  -1000000000)
)</f>
        <v>0.15616787595449999</v>
      </c>
    </row>
    <row r="195" spans="2:6" x14ac:dyDescent="0.25">
      <c r="B195" t="s">
        <v>338</v>
      </c>
      <c r="C195" s="17" t="str">
        <f>VLOOKUP(Table4[[#This Row],[Name]],Table1[[Player]:[Status]],4,FALSE)</f>
        <v>Murica</v>
      </c>
      <c r="D195" s="17" t="str">
        <f>VLOOKUP(Table4[[#This Row],[Name]],Table1[[Player]:[FP/G]],3,FALSE)</f>
        <v>LW,RW</v>
      </c>
      <c r="E195" s="17">
        <f>VLOOKUP(Table4[[#This Row],[Name]],Table1[[Player]:[Age]],5,FALSE)</f>
        <v>26</v>
      </c>
      <c r="F195" s="10">
        <f>MAX(
  _xlfn.IFNA(_xlfn.XLOOKUP(B195,'C'!B:B,'C'!E:E),  -1000000000),
  _xlfn.IFNA(_xlfn.XLOOKUP(B195, LW!B:B, LW!E:E), -1000000000),
  _xlfn.IFNA(_xlfn.XLOOKUP(B195, RW!B:B, RW!E:E), -1000000000),
  _xlfn.IFNA(_xlfn.XLOOKUP(B195, D!B:B,  D!E:E),  -1000000000)
)</f>
        <v>0.1440823078007103</v>
      </c>
    </row>
    <row r="196" spans="2:6" x14ac:dyDescent="0.25">
      <c r="B196" t="s">
        <v>496</v>
      </c>
      <c r="C196" s="17" t="str">
        <f>VLOOKUP(Table4[[#This Row],[Name]],Table1[[Player]:[Status]],4,FALSE)</f>
        <v>W &lt;small&gt;(Mon)&lt;/small&gt;</v>
      </c>
      <c r="D196" s="17" t="str">
        <f>VLOOKUP(Table4[[#This Row],[Name]],Table1[[Player]:[FP/G]],3,FALSE)</f>
        <v>D</v>
      </c>
      <c r="E196" s="17">
        <f>VLOOKUP(Table4[[#This Row],[Name]],Table1[[Player]:[Age]],5,FALSE)</f>
        <v>33</v>
      </c>
      <c r="F196" s="10">
        <f>MAX(
  _xlfn.IFNA(_xlfn.XLOOKUP(B196,'C'!B:B,'C'!E:E),  -1000000000),
  _xlfn.IFNA(_xlfn.XLOOKUP(B196, LW!B:B, LW!E:E), -1000000000),
  _xlfn.IFNA(_xlfn.XLOOKUP(B196, RW!B:B, RW!E:E), -1000000000),
  _xlfn.IFNA(_xlfn.XLOOKUP(B196, D!B:B,  D!E:E),  -1000000000)
)</f>
        <v>0.12573697994292976</v>
      </c>
    </row>
    <row r="197" spans="2:6" x14ac:dyDescent="0.25">
      <c r="B197" t="s">
        <v>664</v>
      </c>
      <c r="C197" s="17" t="str">
        <f>VLOOKUP(Table4[[#This Row],[Name]],Table1[[Player]:[Status]],4,FALSE)</f>
        <v>W &lt;small&gt;(Mon)&lt;/small&gt;</v>
      </c>
      <c r="D197" s="17" t="str">
        <f>VLOOKUP(Table4[[#This Row],[Name]],Table1[[Player]:[FP/G]],3,FALSE)</f>
        <v>D</v>
      </c>
      <c r="E197" s="17">
        <f>VLOOKUP(Table4[[#This Row],[Name]],Table1[[Player]:[Age]],5,FALSE)</f>
        <v>30</v>
      </c>
      <c r="F197" s="10">
        <f>MAX(
  _xlfn.IFNA(_xlfn.XLOOKUP(B197,'C'!B:B,'C'!E:E),  -1000000000),
  _xlfn.IFNA(_xlfn.XLOOKUP(B197, LW!B:B, LW!E:E), -1000000000),
  _xlfn.IFNA(_xlfn.XLOOKUP(B197, RW!B:B, RW!E:E), -1000000000),
  _xlfn.IFNA(_xlfn.XLOOKUP(B197, D!B:B,  D!E:E),  -1000000000)
)</f>
        <v>0.12253928415381976</v>
      </c>
    </row>
    <row r="198" spans="2:6" x14ac:dyDescent="0.25">
      <c r="B198" t="s">
        <v>634</v>
      </c>
      <c r="C198" s="17" t="str">
        <f>VLOOKUP(Table4[[#This Row],[Name]],Table1[[Player]:[Status]],4,FALSE)</f>
        <v>W &lt;small&gt;(Mon)&lt;/small&gt;</v>
      </c>
      <c r="D198" s="17" t="str">
        <f>VLOOKUP(Table4[[#This Row],[Name]],Table1[[Player]:[FP/G]],3,FALSE)</f>
        <v>D</v>
      </c>
      <c r="E198" s="17">
        <f>VLOOKUP(Table4[[#This Row],[Name]],Table1[[Player]:[Age]],5,FALSE)</f>
        <v>32</v>
      </c>
      <c r="F198" s="10">
        <f>MAX(
  _xlfn.IFNA(_xlfn.XLOOKUP(B198,'C'!B:B,'C'!E:E),  -1000000000),
  _xlfn.IFNA(_xlfn.XLOOKUP(B198, LW!B:B, LW!E:E), -1000000000),
  _xlfn.IFNA(_xlfn.XLOOKUP(B198, RW!B:B, RW!E:E), -1000000000),
  _xlfn.IFNA(_xlfn.XLOOKUP(B198, D!B:B,  D!E:E),  -1000000000)
)</f>
        <v>0.12165702731058969</v>
      </c>
    </row>
    <row r="199" spans="2:6" x14ac:dyDescent="0.25">
      <c r="B199" t="s">
        <v>692</v>
      </c>
      <c r="C199" s="17" t="str">
        <f>VLOOKUP(Table4[[#This Row],[Name]],Table1[[Player]:[Status]],4,FALSE)</f>
        <v>Chris</v>
      </c>
      <c r="D199" s="17" t="str">
        <f>VLOOKUP(Table4[[#This Row],[Name]],Table1[[Player]:[FP/G]],3,FALSE)</f>
        <v>D</v>
      </c>
      <c r="E199" s="17">
        <f>VLOOKUP(Table4[[#This Row],[Name]],Table1[[Player]:[Age]],5,FALSE)</f>
        <v>23</v>
      </c>
      <c r="F199" s="10">
        <f>MAX(
  _xlfn.IFNA(_xlfn.XLOOKUP(B199,'C'!B:B,'C'!E:E),  -1000000000),
  _xlfn.IFNA(_xlfn.XLOOKUP(B199, LW!B:B, LW!E:E), -1000000000),
  _xlfn.IFNA(_xlfn.XLOOKUP(B199, RW!B:B, RW!E:E), -1000000000),
  _xlfn.IFNA(_xlfn.XLOOKUP(B199, D!B:B,  D!E:E),  -1000000000)
)</f>
        <v>0.12091162694996971</v>
      </c>
    </row>
    <row r="200" spans="2:6" x14ac:dyDescent="0.25">
      <c r="B200" t="s">
        <v>598</v>
      </c>
      <c r="C200" s="17" t="str">
        <f>VLOOKUP(Table4[[#This Row],[Name]],Table1[[Player]:[Status]],4,FALSE)</f>
        <v>W &lt;small&gt;(Mon)&lt;/small&gt;</v>
      </c>
      <c r="D200" s="17" t="str">
        <f>VLOOKUP(Table4[[#This Row],[Name]],Table1[[Player]:[FP/G]],3,FALSE)</f>
        <v>D</v>
      </c>
      <c r="E200" s="17">
        <f>VLOOKUP(Table4[[#This Row],[Name]],Table1[[Player]:[Age]],5,FALSE)</f>
        <v>27</v>
      </c>
      <c r="F200" s="10">
        <f>MAX(
  _xlfn.IFNA(_xlfn.XLOOKUP(B200,'C'!B:B,'C'!E:E),  -1000000000),
  _xlfn.IFNA(_xlfn.XLOOKUP(B200, LW!B:B, LW!E:E), -1000000000),
  _xlfn.IFNA(_xlfn.XLOOKUP(B200, RW!B:B, RW!E:E), -1000000000),
  _xlfn.IFNA(_xlfn.XLOOKUP(B200, D!B:B,  D!E:E),  -1000000000)
)</f>
        <v>0.11156062414029977</v>
      </c>
    </row>
    <row r="201" spans="2:6" x14ac:dyDescent="0.25">
      <c r="B201" t="s">
        <v>378</v>
      </c>
      <c r="C201" s="17" t="str">
        <f>VLOOKUP(Table4[[#This Row],[Name]],Table1[[Player]:[Status]],4,FALSE)</f>
        <v>Abby</v>
      </c>
      <c r="D201" s="17" t="str">
        <f>VLOOKUP(Table4[[#This Row],[Name]],Table1[[Player]:[FP/G]],3,FALSE)</f>
        <v>LW,RW</v>
      </c>
      <c r="E201" s="17">
        <f>VLOOKUP(Table4[[#This Row],[Name]],Table1[[Player]:[Age]],5,FALSE)</f>
        <v>28</v>
      </c>
      <c r="F201" s="10">
        <f>MAX(
  _xlfn.IFNA(_xlfn.XLOOKUP(B201,'C'!B:B,'C'!E:E),  -1000000000),
  _xlfn.IFNA(_xlfn.XLOOKUP(B201, LW!B:B, LW!E:E), -1000000000),
  _xlfn.IFNA(_xlfn.XLOOKUP(B201, RW!B:B, RW!E:E), -1000000000),
  _xlfn.IFNA(_xlfn.XLOOKUP(B201, D!B:B,  D!E:E),  -1000000000)
)</f>
        <v>9.3604887131840009E-2</v>
      </c>
    </row>
    <row r="202" spans="2:6" x14ac:dyDescent="0.25">
      <c r="B202" t="s">
        <v>180</v>
      </c>
      <c r="C202" s="17" t="str">
        <f>VLOOKUP(Table4[[#This Row],[Name]],Table1[[Player]:[Status]],4,FALSE)</f>
        <v>Sam</v>
      </c>
      <c r="D202" s="17" t="str">
        <f>VLOOKUP(Table4[[#This Row],[Name]],Table1[[Player]:[FP/G]],3,FALSE)</f>
        <v>LW,RW</v>
      </c>
      <c r="E202" s="17">
        <f>VLOOKUP(Table4[[#This Row],[Name]],Table1[[Player]:[Age]],5,FALSE)</f>
        <v>31</v>
      </c>
      <c r="F202" s="10">
        <f>MAX(
  _xlfn.IFNA(_xlfn.XLOOKUP(B202,'C'!B:B,'C'!E:E),  -1000000000),
  _xlfn.IFNA(_xlfn.XLOOKUP(B202, LW!B:B, LW!E:E), -1000000000),
  _xlfn.IFNA(_xlfn.XLOOKUP(B202, RW!B:B, RW!E:E), -1000000000),
  _xlfn.IFNA(_xlfn.XLOOKUP(B202, D!B:B,  D!E:E),  -1000000000)
)</f>
        <v>9.0287326148740021E-2</v>
      </c>
    </row>
    <row r="203" spans="2:6" x14ac:dyDescent="0.25">
      <c r="B203" t="s">
        <v>306</v>
      </c>
      <c r="C203" s="17" t="str">
        <f>VLOOKUP(Table4[[#This Row],[Name]],Table1[[Player]:[Status]],4,FALSE)</f>
        <v>W &lt;small&gt;(Mon)&lt;/small&gt;</v>
      </c>
      <c r="D203" s="17" t="str">
        <f>VLOOKUP(Table4[[#This Row],[Name]],Table1[[Player]:[FP/G]],3,FALSE)</f>
        <v>LW</v>
      </c>
      <c r="E203" s="17">
        <f>VLOOKUP(Table4[[#This Row],[Name]],Table1[[Player]:[Age]],5,FALSE)</f>
        <v>30</v>
      </c>
      <c r="F203" s="10">
        <f>MAX(
  _xlfn.IFNA(_xlfn.XLOOKUP(B203,'C'!B:B,'C'!E:E),  -1000000000),
  _xlfn.IFNA(_xlfn.XLOOKUP(B203, LW!B:B, LW!E:E), -1000000000),
  _xlfn.IFNA(_xlfn.XLOOKUP(B203, RW!B:B, RW!E:E), -1000000000),
  _xlfn.IFNA(_xlfn.XLOOKUP(B203, D!B:B,  D!E:E),  -1000000000)
)</f>
        <v>8.6114856118050476E-2</v>
      </c>
    </row>
    <row r="204" spans="2:6" x14ac:dyDescent="0.25">
      <c r="B204" t="s">
        <v>266</v>
      </c>
      <c r="C204" s="17" t="str">
        <f>VLOOKUP(Table4[[#This Row],[Name]],Table1[[Player]:[Status]],4,FALSE)</f>
        <v>Sam</v>
      </c>
      <c r="D204" s="17" t="str">
        <f>VLOOKUP(Table4[[#This Row],[Name]],Table1[[Player]:[FP/G]],3,FALSE)</f>
        <v>C,LW</v>
      </c>
      <c r="E204" s="17">
        <f>VLOOKUP(Table4[[#This Row],[Name]],Table1[[Player]:[Age]],5,FALSE)</f>
        <v>28</v>
      </c>
      <c r="F204" s="10">
        <f>MAX(
  _xlfn.IFNA(_xlfn.XLOOKUP(B204,'C'!B:B,'C'!E:E),  -1000000000),
  _xlfn.IFNA(_xlfn.XLOOKUP(B204, LW!B:B, LW!E:E), -1000000000),
  _xlfn.IFNA(_xlfn.XLOOKUP(B204, RW!B:B, RW!E:E), -1000000000),
  _xlfn.IFNA(_xlfn.XLOOKUP(B204, D!B:B,  D!E:E),  -1000000000)
)</f>
        <v>8.4814556160969445E-2</v>
      </c>
    </row>
    <row r="205" spans="2:6" x14ac:dyDescent="0.25">
      <c r="B205" t="s">
        <v>492</v>
      </c>
      <c r="C205" s="17" t="str">
        <f>VLOOKUP(Table4[[#This Row],[Name]],Table1[[Player]:[Status]],4,FALSE)</f>
        <v>Chris</v>
      </c>
      <c r="D205" s="17" t="str">
        <f>VLOOKUP(Table4[[#This Row],[Name]],Table1[[Player]:[FP/G]],3,FALSE)</f>
        <v>D</v>
      </c>
      <c r="E205" s="17">
        <f>VLOOKUP(Table4[[#This Row],[Name]],Table1[[Player]:[Age]],5,FALSE)</f>
        <v>24</v>
      </c>
      <c r="F205" s="10">
        <f>MAX(
  _xlfn.IFNA(_xlfn.XLOOKUP(B205,'C'!B:B,'C'!E:E),  -1000000000),
  _xlfn.IFNA(_xlfn.XLOOKUP(B205, LW!B:B, LW!E:E), -1000000000),
  _xlfn.IFNA(_xlfn.XLOOKUP(B205, RW!B:B, RW!E:E), -1000000000),
  _xlfn.IFNA(_xlfn.XLOOKUP(B205, D!B:B,  D!E:E),  -1000000000)
)</f>
        <v>7.397281705673997E-2</v>
      </c>
    </row>
    <row r="206" spans="2:6" x14ac:dyDescent="0.25">
      <c r="B206" t="s">
        <v>680</v>
      </c>
      <c r="C206" s="17" t="str">
        <f>VLOOKUP(Table4[[#This Row],[Name]],Table1[[Player]:[Status]],4,FALSE)</f>
        <v>W &lt;small&gt;(Mon)&lt;/small&gt;</v>
      </c>
      <c r="D206" s="17" t="str">
        <f>VLOOKUP(Table4[[#This Row],[Name]],Table1[[Player]:[FP/G]],3,FALSE)</f>
        <v>D</v>
      </c>
      <c r="E206" s="17">
        <f>VLOOKUP(Table4[[#This Row],[Name]],Table1[[Player]:[Age]],5,FALSE)</f>
        <v>31</v>
      </c>
      <c r="F206" s="10">
        <f>MAX(
  _xlfn.IFNA(_xlfn.XLOOKUP(B206,'C'!B:B,'C'!E:E),  -1000000000),
  _xlfn.IFNA(_xlfn.XLOOKUP(B206, LW!B:B, LW!E:E), -1000000000),
  _xlfn.IFNA(_xlfn.XLOOKUP(B206, RW!B:B, RW!E:E), -1000000000),
  _xlfn.IFNA(_xlfn.XLOOKUP(B206, D!B:B,  D!E:E),  -1000000000)
)</f>
        <v>7.2679348891850015E-2</v>
      </c>
    </row>
    <row r="207" spans="2:6" x14ac:dyDescent="0.25">
      <c r="B207" t="s">
        <v>592</v>
      </c>
      <c r="C207" s="17" t="str">
        <f>VLOOKUP(Table4[[#This Row],[Name]],Table1[[Player]:[Status]],4,FALSE)</f>
        <v>W &lt;small&gt;(Mon)&lt;/small&gt;</v>
      </c>
      <c r="D207" s="17" t="str">
        <f>VLOOKUP(Table4[[#This Row],[Name]],Table1[[Player]:[FP/G]],3,FALSE)</f>
        <v>D</v>
      </c>
      <c r="E207" s="17">
        <f>VLOOKUP(Table4[[#This Row],[Name]],Table1[[Player]:[Age]],5,FALSE)</f>
        <v>30</v>
      </c>
      <c r="F207" s="10">
        <f>MAX(
  _xlfn.IFNA(_xlfn.XLOOKUP(B207,'C'!B:B,'C'!E:E),  -1000000000),
  _xlfn.IFNA(_xlfn.XLOOKUP(B207, LW!B:B, LW!E:E), -1000000000),
  _xlfn.IFNA(_xlfn.XLOOKUP(B207, RW!B:B, RW!E:E), -1000000000),
  _xlfn.IFNA(_xlfn.XLOOKUP(B207, D!B:B,  D!E:E),  -1000000000)
)</f>
        <v>5.9601504886559908E-2</v>
      </c>
    </row>
    <row r="208" spans="2:6" x14ac:dyDescent="0.25">
      <c r="B208" t="s">
        <v>520</v>
      </c>
      <c r="C208" s="17" t="str">
        <f>VLOOKUP(Table4[[#This Row],[Name]],Table1[[Player]:[Status]],4,FALSE)</f>
        <v>W &lt;small&gt;(Mon)&lt;/small&gt;</v>
      </c>
      <c r="D208" s="17" t="str">
        <f>VLOOKUP(Table4[[#This Row],[Name]],Table1[[Player]:[FP/G]],3,FALSE)</f>
        <v>D</v>
      </c>
      <c r="E208" s="17">
        <f>VLOOKUP(Table4[[#This Row],[Name]],Table1[[Player]:[Age]],5,FALSE)</f>
        <v>28</v>
      </c>
      <c r="F208" s="10">
        <f>MAX(
  _xlfn.IFNA(_xlfn.XLOOKUP(B208,'C'!B:B,'C'!E:E),  -1000000000),
  _xlfn.IFNA(_xlfn.XLOOKUP(B208, LW!B:B, LW!E:E), -1000000000),
  _xlfn.IFNA(_xlfn.XLOOKUP(B208, RW!B:B, RW!E:E), -1000000000),
  _xlfn.IFNA(_xlfn.XLOOKUP(B208, D!B:B,  D!E:E),  -1000000000)
)</f>
        <v>5.9461347066669834E-2</v>
      </c>
    </row>
    <row r="209" spans="2:6" x14ac:dyDescent="0.25">
      <c r="B209" t="s">
        <v>262</v>
      </c>
      <c r="C209" s="17" t="str">
        <f>VLOOKUP(Table4[[#This Row],[Name]],Table1[[Player]:[Status]],4,FALSE)</f>
        <v>W &lt;small&gt;(Mon)&lt;/small&gt;</v>
      </c>
      <c r="D209" s="17" t="str">
        <f>VLOOKUP(Table4[[#This Row],[Name]],Table1[[Player]:[FP/G]],3,FALSE)</f>
        <v>LW,RW</v>
      </c>
      <c r="E209" s="17">
        <f>VLOOKUP(Table4[[#This Row],[Name]],Table1[[Player]:[Age]],5,FALSE)</f>
        <v>30</v>
      </c>
      <c r="F209" s="10">
        <f>MAX(
  _xlfn.IFNA(_xlfn.XLOOKUP(B209,'C'!B:B,'C'!E:E),  -1000000000),
  _xlfn.IFNA(_xlfn.XLOOKUP(B209, LW!B:B, LW!E:E), -1000000000),
  _xlfn.IFNA(_xlfn.XLOOKUP(B209, RW!B:B, RW!E:E), -1000000000),
  _xlfn.IFNA(_xlfn.XLOOKUP(B209, D!B:B,  D!E:E),  -1000000000)
)</f>
        <v>5.3518424541150189E-2</v>
      </c>
    </row>
    <row r="210" spans="2:6" x14ac:dyDescent="0.25">
      <c r="B210" t="s">
        <v>674</v>
      </c>
      <c r="C210" s="17" t="str">
        <f>VLOOKUP(Table4[[#This Row],[Name]],Table1[[Player]:[Status]],4,FALSE)</f>
        <v>W &lt;small&gt;(Mon)&lt;/small&gt;</v>
      </c>
      <c r="D210" s="17" t="str">
        <f>VLOOKUP(Table4[[#This Row],[Name]],Table1[[Player]:[FP/G]],3,FALSE)</f>
        <v>D</v>
      </c>
      <c r="E210" s="17">
        <f>VLOOKUP(Table4[[#This Row],[Name]],Table1[[Player]:[Age]],5,FALSE)</f>
        <v>25</v>
      </c>
      <c r="F210" s="10">
        <f>MAX(
  _xlfn.IFNA(_xlfn.XLOOKUP(B210,'C'!B:B,'C'!E:E),  -1000000000),
  _xlfn.IFNA(_xlfn.XLOOKUP(B210, LW!B:B, LW!E:E), -1000000000),
  _xlfn.IFNA(_xlfn.XLOOKUP(B210, RW!B:B, RW!E:E), -1000000000),
  _xlfn.IFNA(_xlfn.XLOOKUP(B210, D!B:B,  D!E:E),  -1000000000)
)</f>
        <v>4.3089889872219622E-2</v>
      </c>
    </row>
    <row r="211" spans="2:6" x14ac:dyDescent="0.25">
      <c r="B211" t="s">
        <v>1597</v>
      </c>
      <c r="C211" s="17" t="str">
        <f>VLOOKUP(Table4[[#This Row],[Name]],Table1[[Player]:[Status]],4,FALSE)</f>
        <v>Joel</v>
      </c>
      <c r="D211" s="17" t="str">
        <f>VLOOKUP(Table4[[#This Row],[Name]],Table1[[Player]:[FP/G]],3,FALSE)</f>
        <v>D</v>
      </c>
      <c r="E211" s="17">
        <f>VLOOKUP(Table4[[#This Row],[Name]],Table1[[Player]:[Age]],5,FALSE)</f>
        <v>22</v>
      </c>
      <c r="F211" s="10">
        <f>MAX(
  _xlfn.IFNA(_xlfn.XLOOKUP(B211,'C'!B:B,'C'!E:E),  -1000000000),
  _xlfn.IFNA(_xlfn.XLOOKUP(B211, LW!B:B, LW!E:E), -1000000000),
  _xlfn.IFNA(_xlfn.XLOOKUP(B211, RW!B:B, RW!E:E), -1000000000),
  _xlfn.IFNA(_xlfn.XLOOKUP(B211, D!B:B,  D!E:E),  -1000000000)
)</f>
        <v>3.5154247546919759E-2</v>
      </c>
    </row>
    <row r="212" spans="2:6" x14ac:dyDescent="0.25">
      <c r="B212" t="s">
        <v>1586</v>
      </c>
      <c r="C212" s="17" t="str">
        <f>VLOOKUP(Table4[[#This Row],[Name]],Table1[[Player]:[Status]],4,FALSE)</f>
        <v>Shannon</v>
      </c>
      <c r="D212" s="17" t="str">
        <f>VLOOKUP(Table4[[#This Row],[Name]],Table1[[Player]:[FP/G]],3,FALSE)</f>
        <v>C</v>
      </c>
      <c r="E212" s="17">
        <f>VLOOKUP(Table4[[#This Row],[Name]],Table1[[Player]:[Age]],5,FALSE)</f>
        <v>34</v>
      </c>
      <c r="F212" s="10">
        <f>MAX(
  _xlfn.IFNA(_xlfn.XLOOKUP(B212,'C'!B:B,'C'!E:E),  -1000000000),
  _xlfn.IFNA(_xlfn.XLOOKUP(B212, LW!B:B, LW!E:E), -1000000000),
  _xlfn.IFNA(_xlfn.XLOOKUP(B212, RW!B:B, RW!E:E), -1000000000),
  _xlfn.IFNA(_xlfn.XLOOKUP(B212, D!B:B,  D!E:E),  -1000000000)
)</f>
        <v>3.0005421328509918E-2</v>
      </c>
    </row>
    <row r="213" spans="2:6" x14ac:dyDescent="0.25">
      <c r="B213" t="s">
        <v>1606</v>
      </c>
      <c r="C213" s="17" t="str">
        <f>VLOOKUP(Table4[[#This Row],[Name]],Table1[[Player]:[Status]],4,FALSE)</f>
        <v>Isaac</v>
      </c>
      <c r="D213" s="17" t="str">
        <f>VLOOKUP(Table4[[#This Row],[Name]],Table1[[Player]:[FP/G]],3,FALSE)</f>
        <v>D</v>
      </c>
      <c r="E213" s="17">
        <f>VLOOKUP(Table4[[#This Row],[Name]],Table1[[Player]:[Age]],5,FALSE)</f>
        <v>23</v>
      </c>
      <c r="F213" s="10">
        <f>MAX(
  _xlfn.IFNA(_xlfn.XLOOKUP(B213,'C'!B:B,'C'!E:E),  -1000000000),
  _xlfn.IFNA(_xlfn.XLOOKUP(B213, LW!B:B, LW!E:E), -1000000000),
  _xlfn.IFNA(_xlfn.XLOOKUP(B213, RW!B:B, RW!E:E), -1000000000),
  _xlfn.IFNA(_xlfn.XLOOKUP(B213, D!B:B,  D!E:E),  -1000000000)
)</f>
        <v>2.7811485015979631E-2</v>
      </c>
    </row>
    <row r="214" spans="2:6" x14ac:dyDescent="0.25">
      <c r="B214" t="s">
        <v>322</v>
      </c>
      <c r="C214" s="17" t="str">
        <f>VLOOKUP(Table4[[#This Row],[Name]],Table1[[Player]:[Status]],4,FALSE)</f>
        <v>Murica</v>
      </c>
      <c r="D214" s="17" t="str">
        <f>VLOOKUP(Table4[[#This Row],[Name]],Table1[[Player]:[FP/G]],3,FALSE)</f>
        <v>LW,RW</v>
      </c>
      <c r="E214" s="17">
        <f>VLOOKUP(Table4[[#This Row],[Name]],Table1[[Player]:[Age]],5,FALSE)</f>
        <v>23</v>
      </c>
      <c r="F214" s="10">
        <f>MAX(
  _xlfn.IFNA(_xlfn.XLOOKUP(B214,'C'!B:B,'C'!E:E),  -1000000000),
  _xlfn.IFNA(_xlfn.XLOOKUP(B214, LW!B:B, LW!E:E), -1000000000),
  _xlfn.IFNA(_xlfn.XLOOKUP(B214, RW!B:B, RW!E:E), -1000000000),
  _xlfn.IFNA(_xlfn.XLOOKUP(B214, D!B:B,  D!E:E),  -1000000000)
)</f>
        <v>2.7676166620170584E-2</v>
      </c>
    </row>
    <row r="215" spans="2:6" x14ac:dyDescent="0.25">
      <c r="B215" t="s">
        <v>572</v>
      </c>
      <c r="C215" s="17" t="str">
        <f>VLOOKUP(Table4[[#This Row],[Name]],Table1[[Player]:[Status]],4,FALSE)</f>
        <v>W &lt;small&gt;(Mon)&lt;/small&gt;</v>
      </c>
      <c r="D215" s="17" t="str">
        <f>VLOOKUP(Table4[[#This Row],[Name]],Table1[[Player]:[FP/G]],3,FALSE)</f>
        <v>D</v>
      </c>
      <c r="E215" s="17">
        <f>VLOOKUP(Table4[[#This Row],[Name]],Table1[[Player]:[Age]],5,FALSE)</f>
        <v>30</v>
      </c>
      <c r="F215" s="10">
        <f>MAX(
  _xlfn.IFNA(_xlfn.XLOOKUP(B215,'C'!B:B,'C'!E:E),  -1000000000),
  _xlfn.IFNA(_xlfn.XLOOKUP(B215, LW!B:B, LW!E:E), -1000000000),
  _xlfn.IFNA(_xlfn.XLOOKUP(B215, RW!B:B, RW!E:E), -1000000000),
  _xlfn.IFNA(_xlfn.XLOOKUP(B215, D!B:B,  D!E:E),  -1000000000)
)</f>
        <v>1.1341135075659814E-2</v>
      </c>
    </row>
    <row r="216" spans="2:6" x14ac:dyDescent="0.25">
      <c r="B216" t="s">
        <v>464</v>
      </c>
      <c r="C216" s="17" t="str">
        <f>VLOOKUP(Table4[[#This Row],[Name]],Table1[[Player]:[Status]],4,FALSE)</f>
        <v>Shannon</v>
      </c>
      <c r="D216" s="17" t="str">
        <f>VLOOKUP(Table4[[#This Row],[Name]],Table1[[Player]:[FP/G]],3,FALSE)</f>
        <v>LW</v>
      </c>
      <c r="E216" s="17">
        <f>VLOOKUP(Table4[[#This Row],[Name]],Table1[[Player]:[Age]],5,FALSE)</f>
        <v>35</v>
      </c>
      <c r="F216" s="10">
        <f>MAX(
  _xlfn.IFNA(_xlfn.XLOOKUP(B216,'C'!B:B,'C'!E:E),  -1000000000),
  _xlfn.IFNA(_xlfn.XLOOKUP(B216, LW!B:B, LW!E:E), -1000000000),
  _xlfn.IFNA(_xlfn.XLOOKUP(B216, RW!B:B, RW!E:E), -1000000000),
  _xlfn.IFNA(_xlfn.XLOOKUP(B216, D!B:B,  D!E:E),  -1000000000)
)</f>
        <v>0</v>
      </c>
    </row>
    <row r="217" spans="2:6" x14ac:dyDescent="0.25">
      <c r="B217" t="s">
        <v>376</v>
      </c>
      <c r="C217" s="17" t="str">
        <f>VLOOKUP(Table4[[#This Row],[Name]],Table1[[Player]:[Status]],4,FALSE)</f>
        <v>Nate</v>
      </c>
      <c r="D217" s="17" t="str">
        <f>VLOOKUP(Table4[[#This Row],[Name]],Table1[[Player]:[FP/G]],3,FALSE)</f>
        <v>C</v>
      </c>
      <c r="E217" s="17">
        <f>VLOOKUP(Table4[[#This Row],[Name]],Table1[[Player]:[Age]],5,FALSE)</f>
        <v>24</v>
      </c>
      <c r="F217" s="10">
        <f>MAX(
  _xlfn.IFNA(_xlfn.XLOOKUP(B217,'C'!B:B,'C'!E:E),  -1000000000),
  _xlfn.IFNA(_xlfn.XLOOKUP(B217, LW!B:B, LW!E:E), -1000000000),
  _xlfn.IFNA(_xlfn.XLOOKUP(B217, RW!B:B, RW!E:E), -1000000000),
  _xlfn.IFNA(_xlfn.XLOOKUP(B217, D!B:B,  D!E:E),  -1000000000)
)</f>
        <v>0</v>
      </c>
    </row>
    <row r="218" spans="2:6" x14ac:dyDescent="0.25">
      <c r="B218" t="s">
        <v>786</v>
      </c>
      <c r="C218" s="17" t="str">
        <f>VLOOKUP(Table4[[#This Row],[Name]],Table1[[Player]:[Status]],4,FALSE)</f>
        <v>Seth</v>
      </c>
      <c r="D218" s="17" t="str">
        <f>VLOOKUP(Table4[[#This Row],[Name]],Table1[[Player]:[FP/G]],3,FALSE)</f>
        <v>D</v>
      </c>
      <c r="E218" s="17">
        <f>VLOOKUP(Table4[[#This Row],[Name]],Table1[[Player]:[Age]],5,FALSE)</f>
        <v>32</v>
      </c>
      <c r="F218" s="10">
        <f>MAX(
  _xlfn.IFNA(_xlfn.XLOOKUP(B218,'C'!B:B,'C'!E:E),  -1000000000),
  _xlfn.IFNA(_xlfn.XLOOKUP(B218, LW!B:B, LW!E:E), -1000000000),
  _xlfn.IFNA(_xlfn.XLOOKUP(B218, RW!B:B, RW!E:E), -1000000000),
  _xlfn.IFNA(_xlfn.XLOOKUP(B218, D!B:B,  D!E:E),  -1000000000)
)</f>
        <v>0</v>
      </c>
    </row>
    <row r="219" spans="2:6" x14ac:dyDescent="0.25">
      <c r="B219" t="s">
        <v>764</v>
      </c>
      <c r="C219" s="17" t="str">
        <f>VLOOKUP(Table4[[#This Row],[Name]],Table1[[Player]:[Status]],4,FALSE)</f>
        <v>Jason</v>
      </c>
      <c r="D219" s="17" t="str">
        <f>VLOOKUP(Table4[[#This Row],[Name]],Table1[[Player]:[FP/G]],3,FALSE)</f>
        <v>D</v>
      </c>
      <c r="E219" s="17">
        <f>VLOOKUP(Table4[[#This Row],[Name]],Table1[[Player]:[Age]],5,FALSE)</f>
        <v>24</v>
      </c>
      <c r="F219" s="10">
        <f>MAX(
  _xlfn.IFNA(_xlfn.XLOOKUP(B219,'C'!B:B,'C'!E:E),  -1000000000),
  _xlfn.IFNA(_xlfn.XLOOKUP(B219, LW!B:B, LW!E:E), -1000000000),
  _xlfn.IFNA(_xlfn.XLOOKUP(B219, RW!B:B, RW!E:E), -1000000000),
  _xlfn.IFNA(_xlfn.XLOOKUP(B219, D!B:B,  D!E:E),  -1000000000)
)</f>
        <v>-3.400835395439028E-2</v>
      </c>
    </row>
    <row r="220" spans="2:6" x14ac:dyDescent="0.25">
      <c r="B220" t="s">
        <v>494</v>
      </c>
      <c r="C220" s="17" t="str">
        <f>VLOOKUP(Table4[[#This Row],[Name]],Table1[[Player]:[Status]],4,FALSE)</f>
        <v>W &lt;small&gt;(Mon)&lt;/small&gt;</v>
      </c>
      <c r="D220" s="17" t="str">
        <f>VLOOKUP(Table4[[#This Row],[Name]],Table1[[Player]:[FP/G]],3,FALSE)</f>
        <v>D</v>
      </c>
      <c r="E220" s="17">
        <f>VLOOKUP(Table4[[#This Row],[Name]],Table1[[Player]:[Age]],5,FALSE)</f>
        <v>34</v>
      </c>
      <c r="F220" s="10">
        <f>MAX(
  _xlfn.IFNA(_xlfn.XLOOKUP(B220,'C'!B:B,'C'!E:E),  -1000000000),
  _xlfn.IFNA(_xlfn.XLOOKUP(B220, LW!B:B, LW!E:E), -1000000000),
  _xlfn.IFNA(_xlfn.XLOOKUP(B220, RW!B:B, RW!E:E), -1000000000),
  _xlfn.IFNA(_xlfn.XLOOKUP(B220, D!B:B,  D!E:E),  -1000000000)
)</f>
        <v>-4.4781216033870308E-2</v>
      </c>
    </row>
    <row r="221" spans="2:6" x14ac:dyDescent="0.25">
      <c r="B221" t="s">
        <v>704</v>
      </c>
      <c r="C221" s="17" t="str">
        <f>VLOOKUP(Table4[[#This Row],[Name]],Table1[[Player]:[Status]],4,FALSE)</f>
        <v>W &lt;small&gt;(Mon)&lt;/small&gt;</v>
      </c>
      <c r="D221" s="17" t="str">
        <f>VLOOKUP(Table4[[#This Row],[Name]],Table1[[Player]:[FP/G]],3,FALSE)</f>
        <v>D</v>
      </c>
      <c r="E221" s="17">
        <f>VLOOKUP(Table4[[#This Row],[Name]],Table1[[Player]:[Age]],5,FALSE)</f>
        <v>34</v>
      </c>
      <c r="F221" s="10">
        <f>MAX(
  _xlfn.IFNA(_xlfn.XLOOKUP(B221,'C'!B:B,'C'!E:E),  -1000000000),
  _xlfn.IFNA(_xlfn.XLOOKUP(B221, LW!B:B, LW!E:E), -1000000000),
  _xlfn.IFNA(_xlfn.XLOOKUP(B221, RW!B:B, RW!E:E), -1000000000),
  _xlfn.IFNA(_xlfn.XLOOKUP(B221, D!B:B,  D!E:E),  -1000000000)
)</f>
        <v>-5.0372439766520394E-2</v>
      </c>
    </row>
    <row r="222" spans="2:6" x14ac:dyDescent="0.25">
      <c r="B222" t="s">
        <v>628</v>
      </c>
      <c r="C222" s="17" t="str">
        <f>VLOOKUP(Table4[[#This Row],[Name]],Table1[[Player]:[Status]],4,FALSE)</f>
        <v>W &lt;small&gt;(Mon)&lt;/small&gt;</v>
      </c>
      <c r="D222" s="17" t="str">
        <f>VLOOKUP(Table4[[#This Row],[Name]],Table1[[Player]:[FP/G]],3,FALSE)</f>
        <v>D</v>
      </c>
      <c r="E222" s="17">
        <f>VLOOKUP(Table4[[#This Row],[Name]],Table1[[Player]:[Age]],5,FALSE)</f>
        <v>32</v>
      </c>
      <c r="F222" s="10">
        <f>MAX(
  _xlfn.IFNA(_xlfn.XLOOKUP(B222,'C'!B:B,'C'!E:E),  -1000000000),
  _xlfn.IFNA(_xlfn.XLOOKUP(B222, LW!B:B, LW!E:E), -1000000000),
  _xlfn.IFNA(_xlfn.XLOOKUP(B222, RW!B:B, RW!E:E), -1000000000),
  _xlfn.IFNA(_xlfn.XLOOKUP(B222, D!B:B,  D!E:E),  -1000000000)
)</f>
        <v>-5.9401248758660152E-2</v>
      </c>
    </row>
    <row r="223" spans="2:6" x14ac:dyDescent="0.25">
      <c r="B223" t="s">
        <v>750</v>
      </c>
      <c r="C223" s="17" t="str">
        <f>VLOOKUP(Table4[[#This Row],[Name]],Table1[[Player]:[Status]],4,FALSE)</f>
        <v>W &lt;small&gt;(Mon)&lt;/small&gt;</v>
      </c>
      <c r="D223" s="17" t="str">
        <f>VLOOKUP(Table4[[#This Row],[Name]],Table1[[Player]:[FP/G]],3,FALSE)</f>
        <v>D</v>
      </c>
      <c r="E223" s="17">
        <f>VLOOKUP(Table4[[#This Row],[Name]],Table1[[Player]:[Age]],5,FALSE)</f>
        <v>29</v>
      </c>
      <c r="F223" s="10">
        <f>MAX(
  _xlfn.IFNA(_xlfn.XLOOKUP(B223,'C'!B:B,'C'!E:E),  -1000000000),
  _xlfn.IFNA(_xlfn.XLOOKUP(B223, LW!B:B, LW!E:E), -1000000000),
  _xlfn.IFNA(_xlfn.XLOOKUP(B223, RW!B:B, RW!E:E), -1000000000),
  _xlfn.IFNA(_xlfn.XLOOKUP(B223, D!B:B,  D!E:E),  -1000000000)
)</f>
        <v>-6.3506405791279974E-2</v>
      </c>
    </row>
    <row r="224" spans="2:6" x14ac:dyDescent="0.25">
      <c r="B224" t="s">
        <v>552</v>
      </c>
      <c r="C224" s="17" t="str">
        <f>VLOOKUP(Table4[[#This Row],[Name]],Table1[[Player]:[Status]],4,FALSE)</f>
        <v>W &lt;small&gt;(Mon)&lt;/small&gt;</v>
      </c>
      <c r="D224" s="17" t="str">
        <f>VLOOKUP(Table4[[#This Row],[Name]],Table1[[Player]:[FP/G]],3,FALSE)</f>
        <v>LW</v>
      </c>
      <c r="E224" s="17">
        <f>VLOOKUP(Table4[[#This Row],[Name]],Table1[[Player]:[Age]],5,FALSE)</f>
        <v>33</v>
      </c>
      <c r="F224" s="10">
        <f>MAX(
  _xlfn.IFNA(_xlfn.XLOOKUP(B224,'C'!B:B,'C'!E:E),  -1000000000),
  _xlfn.IFNA(_xlfn.XLOOKUP(B224, LW!B:B, LW!E:E), -1000000000),
  _xlfn.IFNA(_xlfn.XLOOKUP(B224, RW!B:B, RW!E:E), -1000000000),
  _xlfn.IFNA(_xlfn.XLOOKUP(B224, D!B:B,  D!E:E),  -1000000000)
)</f>
        <v>-6.6582438056610016E-2</v>
      </c>
    </row>
    <row r="225" spans="2:6" x14ac:dyDescent="0.25">
      <c r="B225" t="s">
        <v>241</v>
      </c>
      <c r="C225" s="17" t="str">
        <f>VLOOKUP(Table4[[#This Row],[Name]],Table1[[Player]:[Status]],4,FALSE)</f>
        <v>Daniel</v>
      </c>
      <c r="D225" s="17" t="str">
        <f>VLOOKUP(Table4[[#This Row],[Name]],Table1[[Player]:[FP/G]],3,FALSE)</f>
        <v>C,LW</v>
      </c>
      <c r="E225" s="17">
        <f>VLOOKUP(Table4[[#This Row],[Name]],Table1[[Player]:[Age]],5,FALSE)</f>
        <v>32</v>
      </c>
      <c r="F225" s="10">
        <f>MAX(
  _xlfn.IFNA(_xlfn.XLOOKUP(B225,'C'!B:B,'C'!E:E),  -1000000000),
  _xlfn.IFNA(_xlfn.XLOOKUP(B225, LW!B:B, LW!E:E), -1000000000),
  _xlfn.IFNA(_xlfn.XLOOKUP(B225, RW!B:B, RW!E:E), -1000000000),
  _xlfn.IFNA(_xlfn.XLOOKUP(B225, D!B:B,  D!E:E),  -1000000000)
)</f>
        <v>-6.9258969406890358E-2</v>
      </c>
    </row>
    <row r="226" spans="2:6" x14ac:dyDescent="0.25">
      <c r="B226" t="s">
        <v>59</v>
      </c>
      <c r="C226" s="17" t="str">
        <f>VLOOKUP(Table4[[#This Row],[Name]],Table1[[Player]:[Status]],4,FALSE)</f>
        <v>Murica</v>
      </c>
      <c r="D226" s="17" t="str">
        <f>VLOOKUP(Table4[[#This Row],[Name]],Table1[[Player]:[FP/G]],3,FALSE)</f>
        <v>RW</v>
      </c>
      <c r="E226" s="17">
        <f>VLOOKUP(Table4[[#This Row],[Name]],Table1[[Player]:[Age]],5,FALSE)</f>
        <v>33</v>
      </c>
      <c r="F226" s="10">
        <f>MAX(
  _xlfn.IFNA(_xlfn.XLOOKUP(B226,'C'!B:B,'C'!E:E),  -1000000000),
  _xlfn.IFNA(_xlfn.XLOOKUP(B226, LW!B:B, LW!E:E), -1000000000),
  _xlfn.IFNA(_xlfn.XLOOKUP(B226, RW!B:B, RW!E:E), -1000000000),
  _xlfn.IFNA(_xlfn.XLOOKUP(B226, D!B:B,  D!E:E),  -1000000000)
)</f>
        <v>-9.159659639428952E-2</v>
      </c>
    </row>
    <row r="227" spans="2:6" x14ac:dyDescent="0.25">
      <c r="B227" t="s">
        <v>412</v>
      </c>
      <c r="C227" s="17" t="str">
        <f>VLOOKUP(Table4[[#This Row],[Name]],Table1[[Player]:[Status]],4,FALSE)</f>
        <v>Gary</v>
      </c>
      <c r="D227" s="17" t="str">
        <f>VLOOKUP(Table4[[#This Row],[Name]],Table1[[Player]:[FP/G]],3,FALSE)</f>
        <v>LW</v>
      </c>
      <c r="E227" s="17">
        <f>VLOOKUP(Table4[[#This Row],[Name]],Table1[[Player]:[Age]],5,FALSE)</f>
        <v>30</v>
      </c>
      <c r="F227" s="10">
        <f>MAX(
  _xlfn.IFNA(_xlfn.XLOOKUP(B227,'C'!B:B,'C'!E:E),  -1000000000),
  _xlfn.IFNA(_xlfn.XLOOKUP(B227, LW!B:B, LW!E:E), -1000000000),
  _xlfn.IFNA(_xlfn.XLOOKUP(B227, RW!B:B, RW!E:E), -1000000000),
  _xlfn.IFNA(_xlfn.XLOOKUP(B227, D!B:B,  D!E:E),  -1000000000)
)</f>
        <v>-0.10283653801282</v>
      </c>
    </row>
    <row r="228" spans="2:6" x14ac:dyDescent="0.25">
      <c r="B228" t="s">
        <v>374</v>
      </c>
      <c r="C228" s="17" t="str">
        <f>VLOOKUP(Table4[[#This Row],[Name]],Table1[[Player]:[Status]],4,FALSE)</f>
        <v>Abby</v>
      </c>
      <c r="D228" s="17" t="str">
        <f>VLOOKUP(Table4[[#This Row],[Name]],Table1[[Player]:[FP/G]],3,FALSE)</f>
        <v>LW</v>
      </c>
      <c r="E228" s="17">
        <f>VLOOKUP(Table4[[#This Row],[Name]],Table1[[Player]:[Age]],5,FALSE)</f>
        <v>26</v>
      </c>
      <c r="F228" s="10">
        <f>MAX(
  _xlfn.IFNA(_xlfn.XLOOKUP(B228,'C'!B:B,'C'!E:E),  -1000000000),
  _xlfn.IFNA(_xlfn.XLOOKUP(B228, LW!B:B, LW!E:E), -1000000000),
  _xlfn.IFNA(_xlfn.XLOOKUP(B228, RW!B:B, RW!E:E), -1000000000),
  _xlfn.IFNA(_xlfn.XLOOKUP(B228, D!B:B,  D!E:E),  -1000000000)
)</f>
        <v>-0.11366391929762987</v>
      </c>
    </row>
    <row r="229" spans="2:6" x14ac:dyDescent="0.25">
      <c r="B229" t="s">
        <v>638</v>
      </c>
      <c r="C229" s="17" t="str">
        <f>VLOOKUP(Table4[[#This Row],[Name]],Table1[[Player]:[Status]],4,FALSE)</f>
        <v>W &lt;small&gt;(Mon)&lt;/small&gt;</v>
      </c>
      <c r="D229" s="17" t="str">
        <f>VLOOKUP(Table4[[#This Row],[Name]],Table1[[Player]:[FP/G]],3,FALSE)</f>
        <v>D</v>
      </c>
      <c r="E229" s="17">
        <f>VLOOKUP(Table4[[#This Row],[Name]],Table1[[Player]:[Age]],5,FALSE)</f>
        <v>31</v>
      </c>
      <c r="F229" s="10">
        <f>MAX(
  _xlfn.IFNA(_xlfn.XLOOKUP(B229,'C'!B:B,'C'!E:E),  -1000000000),
  _xlfn.IFNA(_xlfn.XLOOKUP(B229, LW!B:B, LW!E:E), -1000000000),
  _xlfn.IFNA(_xlfn.XLOOKUP(B229, RW!B:B, RW!E:E), -1000000000),
  _xlfn.IFNA(_xlfn.XLOOKUP(B229, D!B:B,  D!E:E),  -1000000000)
)</f>
        <v>-0.11468627230054018</v>
      </c>
    </row>
    <row r="230" spans="2:6" x14ac:dyDescent="0.25">
      <c r="B230" t="s">
        <v>888</v>
      </c>
      <c r="C230" s="17" t="str">
        <f>VLOOKUP(Table4[[#This Row],[Name]],Table1[[Player]:[Status]],4,FALSE)</f>
        <v>Jason</v>
      </c>
      <c r="D230" s="17" t="str">
        <f>VLOOKUP(Table4[[#This Row],[Name]],Table1[[Player]:[FP/G]],3,FALSE)</f>
        <v>D</v>
      </c>
      <c r="E230" s="17">
        <f>VLOOKUP(Table4[[#This Row],[Name]],Table1[[Player]:[Age]],5,FALSE)</f>
        <v>27</v>
      </c>
      <c r="F230" s="10">
        <f>MAX(
  _xlfn.IFNA(_xlfn.XLOOKUP(B230,'C'!B:B,'C'!E:E),  -1000000000),
  _xlfn.IFNA(_xlfn.XLOOKUP(B230, LW!B:B, LW!E:E), -1000000000),
  _xlfn.IFNA(_xlfn.XLOOKUP(B230, RW!B:B, RW!E:E), -1000000000),
  _xlfn.IFNA(_xlfn.XLOOKUP(B230, D!B:B,  D!E:E),  -1000000000)
)</f>
        <v>-0.11817766708231003</v>
      </c>
    </row>
    <row r="231" spans="2:6" x14ac:dyDescent="0.25">
      <c r="B231" t="s">
        <v>740</v>
      </c>
      <c r="C231" s="17" t="str">
        <f>VLOOKUP(Table4[[#This Row],[Name]],Table1[[Player]:[Status]],4,FALSE)</f>
        <v>W &lt;small&gt;(Mon)&lt;/small&gt;</v>
      </c>
      <c r="D231" s="17" t="str">
        <f>VLOOKUP(Table4[[#This Row],[Name]],Table1[[Player]:[FP/G]],3,FALSE)</f>
        <v>D</v>
      </c>
      <c r="E231" s="17">
        <f>VLOOKUP(Table4[[#This Row],[Name]],Table1[[Player]:[Age]],5,FALSE)</f>
        <v>26</v>
      </c>
      <c r="F231" s="10">
        <f>MAX(
  _xlfn.IFNA(_xlfn.XLOOKUP(B231,'C'!B:B,'C'!E:E),  -1000000000),
  _xlfn.IFNA(_xlfn.XLOOKUP(B231, LW!B:B, LW!E:E), -1000000000),
  _xlfn.IFNA(_xlfn.XLOOKUP(B231, RW!B:B, RW!E:E), -1000000000),
  _xlfn.IFNA(_xlfn.XLOOKUP(B231, D!B:B,  D!E:E),  -1000000000)
)</f>
        <v>-0.11955894643459031</v>
      </c>
    </row>
    <row r="232" spans="2:6" x14ac:dyDescent="0.25">
      <c r="B232" t="s">
        <v>660</v>
      </c>
      <c r="C232" s="17" t="str">
        <f>VLOOKUP(Table4[[#This Row],[Name]],Table1[[Player]:[Status]],4,FALSE)</f>
        <v>Murica</v>
      </c>
      <c r="D232" s="17" t="str">
        <f>VLOOKUP(Table4[[#This Row],[Name]],Table1[[Player]:[FP/G]],3,FALSE)</f>
        <v>LW,RW</v>
      </c>
      <c r="E232" s="17">
        <f>VLOOKUP(Table4[[#This Row],[Name]],Table1[[Player]:[Age]],5,FALSE)</f>
        <v>24</v>
      </c>
      <c r="F232" s="10">
        <f>MAX(
  _xlfn.IFNA(_xlfn.XLOOKUP(B232,'C'!B:B,'C'!E:E),  -1000000000),
  _xlfn.IFNA(_xlfn.XLOOKUP(B232, LW!B:B, LW!E:E), -1000000000),
  _xlfn.IFNA(_xlfn.XLOOKUP(B232, RW!B:B, RW!E:E), -1000000000),
  _xlfn.IFNA(_xlfn.XLOOKUP(B232, D!B:B,  D!E:E),  -1000000000)
)</f>
        <v>-0.13280858075294955</v>
      </c>
    </row>
    <row r="233" spans="2:6" x14ac:dyDescent="0.25">
      <c r="B233" t="s">
        <v>414</v>
      </c>
      <c r="C233" s="17" t="str">
        <f>VLOOKUP(Table4[[#This Row],[Name]],Table1[[Player]:[Status]],4,FALSE)</f>
        <v>Isaac</v>
      </c>
      <c r="D233" s="17" t="str">
        <f>VLOOKUP(Table4[[#This Row],[Name]],Table1[[Player]:[FP/G]],3,FALSE)</f>
        <v>LW,RW</v>
      </c>
      <c r="E233" s="17">
        <f>VLOOKUP(Table4[[#This Row],[Name]],Table1[[Player]:[Age]],5,FALSE)</f>
        <v>22</v>
      </c>
      <c r="F233" s="10">
        <f>MAX(
  _xlfn.IFNA(_xlfn.XLOOKUP(B233,'C'!B:B,'C'!E:E),  -1000000000),
  _xlfn.IFNA(_xlfn.XLOOKUP(B233, LW!B:B, LW!E:E), -1000000000),
  _xlfn.IFNA(_xlfn.XLOOKUP(B233, RW!B:B, RW!E:E), -1000000000),
  _xlfn.IFNA(_xlfn.XLOOKUP(B233, D!B:B,  D!E:E),  -1000000000)
)</f>
        <v>-0.13547829963625979</v>
      </c>
    </row>
    <row r="234" spans="2:6" x14ac:dyDescent="0.25">
      <c r="B234" t="s">
        <v>119</v>
      </c>
      <c r="C234" s="17" t="str">
        <f>VLOOKUP(Table4[[#This Row],[Name]],Table1[[Player]:[Status]],4,FALSE)</f>
        <v>W &lt;small&gt;(Mon)&lt;/small&gt;</v>
      </c>
      <c r="D234" s="17" t="str">
        <f>VLOOKUP(Table4[[#This Row],[Name]],Table1[[Player]:[FP/G]],3,FALSE)</f>
        <v>LW</v>
      </c>
      <c r="E234" s="17">
        <f>VLOOKUP(Table4[[#This Row],[Name]],Table1[[Player]:[Age]],5,FALSE)</f>
        <v>33</v>
      </c>
      <c r="F234" s="10">
        <f>MAX(
  _xlfn.IFNA(_xlfn.XLOOKUP(B234,'C'!B:B,'C'!E:E),  -1000000000),
  _xlfn.IFNA(_xlfn.XLOOKUP(B234, LW!B:B, LW!E:E), -1000000000),
  _xlfn.IFNA(_xlfn.XLOOKUP(B234, RW!B:B, RW!E:E), -1000000000),
  _xlfn.IFNA(_xlfn.XLOOKUP(B234, D!B:B,  D!E:E),  -1000000000)
)</f>
        <v>-0.14663713252110977</v>
      </c>
    </row>
    <row r="235" spans="2:6" x14ac:dyDescent="0.25">
      <c r="B235" t="s">
        <v>726</v>
      </c>
      <c r="C235" s="17" t="str">
        <f>VLOOKUP(Table4[[#This Row],[Name]],Table1[[Player]:[Status]],4,FALSE)</f>
        <v>Abby</v>
      </c>
      <c r="D235" s="17" t="str">
        <f>VLOOKUP(Table4[[#This Row],[Name]],Table1[[Player]:[FP/G]],3,FALSE)</f>
        <v>D</v>
      </c>
      <c r="E235" s="17">
        <f>VLOOKUP(Table4[[#This Row],[Name]],Table1[[Player]:[Age]],5,FALSE)</f>
        <v>24</v>
      </c>
      <c r="F235" s="10">
        <f>MAX(
  _xlfn.IFNA(_xlfn.XLOOKUP(B235,'C'!B:B,'C'!E:E),  -1000000000),
  _xlfn.IFNA(_xlfn.XLOOKUP(B235, LW!B:B, LW!E:E), -1000000000),
  _xlfn.IFNA(_xlfn.XLOOKUP(B235, RW!B:B, RW!E:E), -1000000000),
  _xlfn.IFNA(_xlfn.XLOOKUP(B235, D!B:B,  D!E:E),  -1000000000)
)</f>
        <v>-0.15187582937535016</v>
      </c>
    </row>
    <row r="236" spans="2:6" x14ac:dyDescent="0.25">
      <c r="B236" t="s">
        <v>426</v>
      </c>
      <c r="C236" s="17" t="str">
        <f>VLOOKUP(Table4[[#This Row],[Name]],Table1[[Player]:[Status]],4,FALSE)</f>
        <v>Nate</v>
      </c>
      <c r="D236" s="17" t="str">
        <f>VLOOKUP(Table4[[#This Row],[Name]],Table1[[Player]:[FP/G]],3,FALSE)</f>
        <v>LW,RW</v>
      </c>
      <c r="E236" s="17">
        <f>VLOOKUP(Table4[[#This Row],[Name]],Table1[[Player]:[Age]],5,FALSE)</f>
        <v>23</v>
      </c>
      <c r="F236" s="10">
        <f>MAX(
  _xlfn.IFNA(_xlfn.XLOOKUP(B236,'C'!B:B,'C'!E:E),  -1000000000),
  _xlfn.IFNA(_xlfn.XLOOKUP(B236, LW!B:B, LW!E:E), -1000000000),
  _xlfn.IFNA(_xlfn.XLOOKUP(B236, RW!B:B, RW!E:E), -1000000000),
  _xlfn.IFNA(_xlfn.XLOOKUP(B236, D!B:B,  D!E:E),  -1000000000)
)</f>
        <v>-0.16203862984191009</v>
      </c>
    </row>
    <row r="237" spans="2:6" x14ac:dyDescent="0.25">
      <c r="B237" t="s">
        <v>604</v>
      </c>
      <c r="C237" s="17" t="str">
        <f>VLOOKUP(Table4[[#This Row],[Name]],Table1[[Player]:[Status]],4,FALSE)</f>
        <v>Sam</v>
      </c>
      <c r="D237" s="17" t="str">
        <f>VLOOKUP(Table4[[#This Row],[Name]],Table1[[Player]:[FP/G]],3,FALSE)</f>
        <v>D</v>
      </c>
      <c r="E237" s="17">
        <f>VLOOKUP(Table4[[#This Row],[Name]],Table1[[Player]:[Age]],5,FALSE)</f>
        <v>32</v>
      </c>
      <c r="F237" s="10">
        <f>MAX(
  _xlfn.IFNA(_xlfn.XLOOKUP(B237,'C'!B:B,'C'!E:E),  -1000000000),
  _xlfn.IFNA(_xlfn.XLOOKUP(B237, LW!B:B, LW!E:E), -1000000000),
  _xlfn.IFNA(_xlfn.XLOOKUP(B237, RW!B:B, RW!E:E), -1000000000),
  _xlfn.IFNA(_xlfn.XLOOKUP(B237, D!B:B,  D!E:E),  -1000000000)
)</f>
        <v>-0.1644158670746001</v>
      </c>
    </row>
    <row r="238" spans="2:6" x14ac:dyDescent="0.25">
      <c r="B238" t="s">
        <v>646</v>
      </c>
      <c r="C238" s="17" t="str">
        <f>VLOOKUP(Table4[[#This Row],[Name]],Table1[[Player]:[Status]],4,FALSE)</f>
        <v>W &lt;small&gt;(Mon)&lt;/small&gt;</v>
      </c>
      <c r="D238" s="17" t="str">
        <f>VLOOKUP(Table4[[#This Row],[Name]],Table1[[Player]:[FP/G]],3,FALSE)</f>
        <v>D</v>
      </c>
      <c r="E238" s="17">
        <f>VLOOKUP(Table4[[#This Row],[Name]],Table1[[Player]:[Age]],5,FALSE)</f>
        <v>29</v>
      </c>
      <c r="F238" s="10">
        <f>MAX(
  _xlfn.IFNA(_xlfn.XLOOKUP(B238,'C'!B:B,'C'!E:E),  -1000000000),
  _xlfn.IFNA(_xlfn.XLOOKUP(B238, LW!B:B, LW!E:E), -1000000000),
  _xlfn.IFNA(_xlfn.XLOOKUP(B238, RW!B:B, RW!E:E), -1000000000),
  _xlfn.IFNA(_xlfn.XLOOKUP(B238, D!B:B,  D!E:E),  -1000000000)
)</f>
        <v>-0.16518772482554001</v>
      </c>
    </row>
    <row r="239" spans="2:6" x14ac:dyDescent="0.25">
      <c r="B239" t="s">
        <v>782</v>
      </c>
      <c r="C239" s="17" t="str">
        <f>VLOOKUP(Table4[[#This Row],[Name]],Table1[[Player]:[Status]],4,FALSE)</f>
        <v>W &lt;small&gt;(Mon)&lt;/small&gt;</v>
      </c>
      <c r="D239" s="17" t="str">
        <f>VLOOKUP(Table4[[#This Row],[Name]],Table1[[Player]:[FP/G]],3,FALSE)</f>
        <v>D</v>
      </c>
      <c r="E239" s="17">
        <f>VLOOKUP(Table4[[#This Row],[Name]],Table1[[Player]:[Age]],5,FALSE)</f>
        <v>29</v>
      </c>
      <c r="F239" s="10">
        <f>MAX(
  _xlfn.IFNA(_xlfn.XLOOKUP(B239,'C'!B:B,'C'!E:E),  -1000000000),
  _xlfn.IFNA(_xlfn.XLOOKUP(B239, LW!B:B, LW!E:E), -1000000000),
  _xlfn.IFNA(_xlfn.XLOOKUP(B239, RW!B:B, RW!E:E), -1000000000),
  _xlfn.IFNA(_xlfn.XLOOKUP(B239, D!B:B,  D!E:E),  -1000000000)
)</f>
        <v>-0.17226689028275999</v>
      </c>
    </row>
    <row r="240" spans="2:6" x14ac:dyDescent="0.25">
      <c r="B240" t="s">
        <v>406</v>
      </c>
      <c r="C240" s="17" t="str">
        <f>VLOOKUP(Table4[[#This Row],[Name]],Table1[[Player]:[Status]],4,FALSE)</f>
        <v>Jason</v>
      </c>
      <c r="D240" s="17" t="str">
        <f>VLOOKUP(Table4[[#This Row],[Name]],Table1[[Player]:[FP/G]],3,FALSE)</f>
        <v>RW</v>
      </c>
      <c r="E240" s="17">
        <f>VLOOKUP(Table4[[#This Row],[Name]],Table1[[Player]:[Age]],5,FALSE)</f>
        <v>34</v>
      </c>
      <c r="F240" s="10">
        <f>MAX(
  _xlfn.IFNA(_xlfn.XLOOKUP(B240,'C'!B:B,'C'!E:E),  -1000000000),
  _xlfn.IFNA(_xlfn.XLOOKUP(B240, LW!B:B, LW!E:E), -1000000000),
  _xlfn.IFNA(_xlfn.XLOOKUP(B240, RW!B:B, RW!E:E), -1000000000),
  _xlfn.IFNA(_xlfn.XLOOKUP(B240, D!B:B,  D!E:E),  -1000000000)
)</f>
        <v>-0.18777923332247948</v>
      </c>
    </row>
    <row r="241" spans="2:6" x14ac:dyDescent="0.25">
      <c r="B241" t="s">
        <v>582</v>
      </c>
      <c r="C241" s="17" t="str">
        <f>VLOOKUP(Table4[[#This Row],[Name]],Table1[[Player]:[Status]],4,FALSE)</f>
        <v>Jason</v>
      </c>
      <c r="D241" s="17" t="str">
        <f>VLOOKUP(Table4[[#This Row],[Name]],Table1[[Player]:[FP/G]],3,FALSE)</f>
        <v>LW</v>
      </c>
      <c r="E241" s="17">
        <f>VLOOKUP(Table4[[#This Row],[Name]],Table1[[Player]:[Age]],5,FALSE)</f>
        <v>33</v>
      </c>
      <c r="F241" s="10">
        <f>MAX(
  _xlfn.IFNA(_xlfn.XLOOKUP(B241,'C'!B:B,'C'!E:E),  -1000000000),
  _xlfn.IFNA(_xlfn.XLOOKUP(B241, LW!B:B, LW!E:E), -1000000000),
  _xlfn.IFNA(_xlfn.XLOOKUP(B241, RW!B:B, RW!E:E), -1000000000),
  _xlfn.IFNA(_xlfn.XLOOKUP(B241, D!B:B,  D!E:E),  -1000000000)
)</f>
        <v>-0.19112784866470989</v>
      </c>
    </row>
    <row r="242" spans="2:6" x14ac:dyDescent="0.25">
      <c r="B242" t="s">
        <v>652</v>
      </c>
      <c r="C242" s="17" t="str">
        <f>VLOOKUP(Table4[[#This Row],[Name]],Table1[[Player]:[Status]],4,FALSE)</f>
        <v>Murica</v>
      </c>
      <c r="D242" s="17" t="str">
        <f>VLOOKUP(Table4[[#This Row],[Name]],Table1[[Player]:[FP/G]],3,FALSE)</f>
        <v>C,LW</v>
      </c>
      <c r="E242" s="17">
        <f>VLOOKUP(Table4[[#This Row],[Name]],Table1[[Player]:[Age]],5,FALSE)</f>
        <v>24</v>
      </c>
      <c r="F242" s="10">
        <f>MAX(
  _xlfn.IFNA(_xlfn.XLOOKUP(B242,'C'!B:B,'C'!E:E),  -1000000000),
  _xlfn.IFNA(_xlfn.XLOOKUP(B242, LW!B:B, LW!E:E), -1000000000),
  _xlfn.IFNA(_xlfn.XLOOKUP(B242, RW!B:B, RW!E:E), -1000000000),
  _xlfn.IFNA(_xlfn.XLOOKUP(B242, D!B:B,  D!E:E),  -1000000000)
)</f>
        <v>-0.19193752207988002</v>
      </c>
    </row>
    <row r="243" spans="2:6" x14ac:dyDescent="0.25">
      <c r="B243" t="s">
        <v>626</v>
      </c>
      <c r="C243" s="17" t="str">
        <f>VLOOKUP(Table4[[#This Row],[Name]],Table1[[Player]:[Status]],4,FALSE)</f>
        <v>W &lt;small&gt;(Mon)&lt;/small&gt;</v>
      </c>
      <c r="D243" s="17" t="str">
        <f>VLOOKUP(Table4[[#This Row],[Name]],Table1[[Player]:[FP/G]],3,FALSE)</f>
        <v>D</v>
      </c>
      <c r="E243" s="17">
        <f>VLOOKUP(Table4[[#This Row],[Name]],Table1[[Player]:[Age]],5,FALSE)</f>
        <v>35</v>
      </c>
      <c r="F243" s="10">
        <f>MAX(
  _xlfn.IFNA(_xlfn.XLOOKUP(B243,'C'!B:B,'C'!E:E),  -1000000000),
  _xlfn.IFNA(_xlfn.XLOOKUP(B243, LW!B:B, LW!E:E), -1000000000),
  _xlfn.IFNA(_xlfn.XLOOKUP(B243, RW!B:B, RW!E:E), -1000000000),
  _xlfn.IFNA(_xlfn.XLOOKUP(B243, D!B:B,  D!E:E),  -1000000000)
)</f>
        <v>-0.19891958709493007</v>
      </c>
    </row>
    <row r="244" spans="2:6" x14ac:dyDescent="0.25">
      <c r="B244" t="s">
        <v>510</v>
      </c>
      <c r="C244" s="17" t="str">
        <f>VLOOKUP(Table4[[#This Row],[Name]],Table1[[Player]:[Status]],4,FALSE)</f>
        <v>Sam</v>
      </c>
      <c r="D244" s="17" t="str">
        <f>VLOOKUP(Table4[[#This Row],[Name]],Table1[[Player]:[FP/G]],3,FALSE)</f>
        <v>D</v>
      </c>
      <c r="E244" s="17">
        <f>VLOOKUP(Table4[[#This Row],[Name]],Table1[[Player]:[Age]],5,FALSE)</f>
        <v>23</v>
      </c>
      <c r="F244" s="10">
        <f>MAX(
  _xlfn.IFNA(_xlfn.XLOOKUP(B244,'C'!B:B,'C'!E:E),  -1000000000),
  _xlfn.IFNA(_xlfn.XLOOKUP(B244, LW!B:B, LW!E:E), -1000000000),
  _xlfn.IFNA(_xlfn.XLOOKUP(B244, RW!B:B, RW!E:E), -1000000000),
  _xlfn.IFNA(_xlfn.XLOOKUP(B244, D!B:B,  D!E:E),  -1000000000)
)</f>
        <v>-0.20693244408324007</v>
      </c>
    </row>
    <row r="245" spans="2:6" x14ac:dyDescent="0.25">
      <c r="B245" t="s">
        <v>336</v>
      </c>
      <c r="C245" s="17" t="str">
        <f>VLOOKUP(Table4[[#This Row],[Name]],Table1[[Player]:[Status]],4,FALSE)</f>
        <v>Gary</v>
      </c>
      <c r="D245" s="17" t="str">
        <f>VLOOKUP(Table4[[#This Row],[Name]],Table1[[Player]:[FP/G]],3,FALSE)</f>
        <v>C</v>
      </c>
      <c r="E245" s="17">
        <f>VLOOKUP(Table4[[#This Row],[Name]],Table1[[Player]:[Age]],5,FALSE)</f>
        <v>22</v>
      </c>
      <c r="F245" s="10">
        <f>MAX(
  _xlfn.IFNA(_xlfn.XLOOKUP(B245,'C'!B:B,'C'!E:E),  -1000000000),
  _xlfn.IFNA(_xlfn.XLOOKUP(B245, LW!B:B, LW!E:E), -1000000000),
  _xlfn.IFNA(_xlfn.XLOOKUP(B245, RW!B:B, RW!E:E), -1000000000),
  _xlfn.IFNA(_xlfn.XLOOKUP(B245, D!B:B,  D!E:E),  -1000000000)
)</f>
        <v>-0.20869712929395057</v>
      </c>
    </row>
    <row r="246" spans="2:6" x14ac:dyDescent="0.25">
      <c r="B246" t="s">
        <v>542</v>
      </c>
      <c r="C246" s="17" t="str">
        <f>VLOOKUP(Table4[[#This Row],[Name]],Table1[[Player]:[Status]],4,FALSE)</f>
        <v>Daniel</v>
      </c>
      <c r="D246" s="17" t="str">
        <f>VLOOKUP(Table4[[#This Row],[Name]],Table1[[Player]:[FP/G]],3,FALSE)</f>
        <v>D</v>
      </c>
      <c r="E246" s="17">
        <f>VLOOKUP(Table4[[#This Row],[Name]],Table1[[Player]:[Age]],5,FALSE)</f>
        <v>25</v>
      </c>
      <c r="F246" s="10">
        <f>MAX(
  _xlfn.IFNA(_xlfn.XLOOKUP(B246,'C'!B:B,'C'!E:E),  -1000000000),
  _xlfn.IFNA(_xlfn.XLOOKUP(B246, LW!B:B, LW!E:E), -1000000000),
  _xlfn.IFNA(_xlfn.XLOOKUP(B246, RW!B:B, RW!E:E), -1000000000),
  _xlfn.IFNA(_xlfn.XLOOKUP(B246, D!B:B,  D!E:E),  -1000000000)
)</f>
        <v>-0.20993452619687014</v>
      </c>
    </row>
    <row r="247" spans="2:6" x14ac:dyDescent="0.25">
      <c r="B247" t="s">
        <v>165</v>
      </c>
      <c r="C247" s="17" t="str">
        <f>VLOOKUP(Table4[[#This Row],[Name]],Table1[[Player]:[Status]],4,FALSE)</f>
        <v>Sam</v>
      </c>
      <c r="D247" s="17" t="str">
        <f>VLOOKUP(Table4[[#This Row],[Name]],Table1[[Player]:[FP/G]],3,FALSE)</f>
        <v>LW,RW</v>
      </c>
      <c r="E247" s="17">
        <f>VLOOKUP(Table4[[#This Row],[Name]],Table1[[Player]:[Age]],5,FALSE)</f>
        <v>37</v>
      </c>
      <c r="F247" s="10">
        <f>MAX(
  _xlfn.IFNA(_xlfn.XLOOKUP(B247,'C'!B:B,'C'!E:E),  -1000000000),
  _xlfn.IFNA(_xlfn.XLOOKUP(B247, LW!B:B, LW!E:E), -1000000000),
  _xlfn.IFNA(_xlfn.XLOOKUP(B247, RW!B:B, RW!E:E), -1000000000),
  _xlfn.IFNA(_xlfn.XLOOKUP(B247, D!B:B,  D!E:E),  -1000000000)
)</f>
        <v>-0.23428506596128962</v>
      </c>
    </row>
    <row r="248" spans="2:6" x14ac:dyDescent="0.25">
      <c r="B248" t="s">
        <v>698</v>
      </c>
      <c r="C248" s="17" t="str">
        <f>VLOOKUP(Table4[[#This Row],[Name]],Table1[[Player]:[Status]],4,FALSE)</f>
        <v>W &lt;small&gt;(Mon)&lt;/small&gt;</v>
      </c>
      <c r="D248" s="17" t="str">
        <f>VLOOKUP(Table4[[#This Row],[Name]],Table1[[Player]:[FP/G]],3,FALSE)</f>
        <v>D</v>
      </c>
      <c r="E248" s="17">
        <f>VLOOKUP(Table4[[#This Row],[Name]],Table1[[Player]:[Age]],5,FALSE)</f>
        <v>24</v>
      </c>
      <c r="F248" s="10">
        <f>MAX(
  _xlfn.IFNA(_xlfn.XLOOKUP(B248,'C'!B:B,'C'!E:E),  -1000000000),
  _xlfn.IFNA(_xlfn.XLOOKUP(B248, LW!B:B, LW!E:E), -1000000000),
  _xlfn.IFNA(_xlfn.XLOOKUP(B248, RW!B:B, RW!E:E), -1000000000),
  _xlfn.IFNA(_xlfn.XLOOKUP(B248, D!B:B,  D!E:E),  -1000000000)
)</f>
        <v>-0.24001675939041034</v>
      </c>
    </row>
    <row r="249" spans="2:6" x14ac:dyDescent="0.25">
      <c r="B249" t="s">
        <v>394</v>
      </c>
      <c r="C249" s="17" t="str">
        <f>VLOOKUP(Table4[[#This Row],[Name]],Table1[[Player]:[Status]],4,FALSE)</f>
        <v>Shannon</v>
      </c>
      <c r="D249" s="17" t="str">
        <f>VLOOKUP(Table4[[#This Row],[Name]],Table1[[Player]:[FP/G]],3,FALSE)</f>
        <v>C</v>
      </c>
      <c r="E249" s="17">
        <f>VLOOKUP(Table4[[#This Row],[Name]],Table1[[Player]:[Age]],5,FALSE)</f>
        <v>34</v>
      </c>
      <c r="F249" s="10">
        <f>MAX(
  _xlfn.IFNA(_xlfn.XLOOKUP(B249,'C'!B:B,'C'!E:E),  -1000000000),
  _xlfn.IFNA(_xlfn.XLOOKUP(B249, LW!B:B, LW!E:E), -1000000000),
  _xlfn.IFNA(_xlfn.XLOOKUP(B249, RW!B:B, RW!E:E), -1000000000),
  _xlfn.IFNA(_xlfn.XLOOKUP(B249, D!B:B,  D!E:E),  -1000000000)
)</f>
        <v>-0.24036804194279071</v>
      </c>
    </row>
    <row r="250" spans="2:6" x14ac:dyDescent="0.25">
      <c r="B250" t="s">
        <v>928</v>
      </c>
      <c r="C250" s="17" t="str">
        <f>VLOOKUP(Table4[[#This Row],[Name]],Table1[[Player]:[Status]],4,FALSE)</f>
        <v>W &lt;small&gt;(Mon)&lt;/small&gt;</v>
      </c>
      <c r="D250" s="17" t="str">
        <f>VLOOKUP(Table4[[#This Row],[Name]],Table1[[Player]:[FP/G]],3,FALSE)</f>
        <v>D</v>
      </c>
      <c r="E250" s="17">
        <f>VLOOKUP(Table4[[#This Row],[Name]],Table1[[Player]:[Age]],5,FALSE)</f>
        <v>26</v>
      </c>
      <c r="F250" s="10">
        <f>MAX(
  _xlfn.IFNA(_xlfn.XLOOKUP(B250,'C'!B:B,'C'!E:E),  -1000000000),
  _xlfn.IFNA(_xlfn.XLOOKUP(B250, LW!B:B, LW!E:E), -1000000000),
  _xlfn.IFNA(_xlfn.XLOOKUP(B250, RW!B:B, RW!E:E), -1000000000),
  _xlfn.IFNA(_xlfn.XLOOKUP(B250, D!B:B,  D!E:E),  -1000000000)
)</f>
        <v>-0.24224453157093029</v>
      </c>
    </row>
    <row r="251" spans="2:6" x14ac:dyDescent="0.25">
      <c r="B251" t="s">
        <v>1066</v>
      </c>
      <c r="C251" s="17" t="str">
        <f>VLOOKUP(Table4[[#This Row],[Name]],Table1[[Player]:[Status]],4,FALSE)</f>
        <v>W &lt;small&gt;(Mon)&lt;/small&gt;</v>
      </c>
      <c r="D251" s="17" t="str">
        <f>VLOOKUP(Table4[[#This Row],[Name]],Table1[[Player]:[FP/G]],3,FALSE)</f>
        <v>D</v>
      </c>
      <c r="E251" s="17">
        <f>VLOOKUP(Table4[[#This Row],[Name]],Table1[[Player]:[Age]],5,FALSE)</f>
        <v>28</v>
      </c>
      <c r="F251" s="10">
        <f>MAX(
  _xlfn.IFNA(_xlfn.XLOOKUP(B251,'C'!B:B,'C'!E:E),  -1000000000),
  _xlfn.IFNA(_xlfn.XLOOKUP(B251, LW!B:B, LW!E:E), -1000000000),
  _xlfn.IFNA(_xlfn.XLOOKUP(B251, RW!B:B, RW!E:E), -1000000000),
  _xlfn.IFNA(_xlfn.XLOOKUP(B251, D!B:B,  D!E:E),  -1000000000)
)</f>
        <v>-0.24401981937843997</v>
      </c>
    </row>
    <row r="252" spans="2:6" x14ac:dyDescent="0.25">
      <c r="B252" t="s">
        <v>908</v>
      </c>
      <c r="C252" s="17" t="str">
        <f>VLOOKUP(Table4[[#This Row],[Name]],Table1[[Player]:[Status]],4,FALSE)</f>
        <v>W &lt;small&gt;(Mon)&lt;/small&gt;</v>
      </c>
      <c r="D252" s="17" t="str">
        <f>VLOOKUP(Table4[[#This Row],[Name]],Table1[[Player]:[FP/G]],3,FALSE)</f>
        <v>D</v>
      </c>
      <c r="E252" s="17">
        <f>VLOOKUP(Table4[[#This Row],[Name]],Table1[[Player]:[Age]],5,FALSE)</f>
        <v>31</v>
      </c>
      <c r="F252" s="10">
        <f>MAX(
  _xlfn.IFNA(_xlfn.XLOOKUP(B252,'C'!B:B,'C'!E:E),  -1000000000),
  _xlfn.IFNA(_xlfn.XLOOKUP(B252, LW!B:B, LW!E:E), -1000000000),
  _xlfn.IFNA(_xlfn.XLOOKUP(B252, RW!B:B, RW!E:E), -1000000000),
  _xlfn.IFNA(_xlfn.XLOOKUP(B252, D!B:B,  D!E:E),  -1000000000)
)</f>
        <v>-0.24962597783816021</v>
      </c>
    </row>
    <row r="253" spans="2:6" x14ac:dyDescent="0.25">
      <c r="B253" t="s">
        <v>1585</v>
      </c>
      <c r="C253" s="17" t="str">
        <f>VLOOKUP(Table4[[#This Row],[Name]],Table1[[Player]:[Status]],4,FALSE)</f>
        <v>Nate</v>
      </c>
      <c r="D253" s="17" t="str">
        <f>VLOOKUP(Table4[[#This Row],[Name]],Table1[[Player]:[FP/G]],3,FALSE)</f>
        <v>LW,RW</v>
      </c>
      <c r="E253" s="17">
        <f>VLOOKUP(Table4[[#This Row],[Name]],Table1[[Player]:[Age]],5,FALSE)</f>
        <v>21</v>
      </c>
      <c r="F253" s="10">
        <f>MAX(
  _xlfn.IFNA(_xlfn.XLOOKUP(B253,'C'!B:B,'C'!E:E),  -1000000000),
  _xlfn.IFNA(_xlfn.XLOOKUP(B253, LW!B:B, LW!E:E), -1000000000),
  _xlfn.IFNA(_xlfn.XLOOKUP(B253, RW!B:B, RW!E:E), -1000000000),
  _xlfn.IFNA(_xlfn.XLOOKUP(B253, D!B:B,  D!E:E),  -1000000000)
)</f>
        <v>-0.25047275932540014</v>
      </c>
    </row>
    <row r="254" spans="2:6" x14ac:dyDescent="0.25">
      <c r="B254" t="s">
        <v>512</v>
      </c>
      <c r="C254" s="17" t="str">
        <f>VLOOKUP(Table4[[#This Row],[Name]],Table1[[Player]:[Status]],4,FALSE)</f>
        <v>Sam</v>
      </c>
      <c r="D254" s="17" t="str">
        <f>VLOOKUP(Table4[[#This Row],[Name]],Table1[[Player]:[FP/G]],3,FALSE)</f>
        <v>C</v>
      </c>
      <c r="E254" s="17">
        <f>VLOOKUP(Table4[[#This Row],[Name]],Table1[[Player]:[Age]],5,FALSE)</f>
        <v>28</v>
      </c>
      <c r="F254" s="10">
        <f>MAX(
  _xlfn.IFNA(_xlfn.XLOOKUP(B254,'C'!B:B,'C'!E:E),  -1000000000),
  _xlfn.IFNA(_xlfn.XLOOKUP(B254, LW!B:B, LW!E:E), -1000000000),
  _xlfn.IFNA(_xlfn.XLOOKUP(B254, RW!B:B, RW!E:E), -1000000000),
  _xlfn.IFNA(_xlfn.XLOOKUP(B254, D!B:B,  D!E:E),  -1000000000)
)</f>
        <v>-0.28254353210745009</v>
      </c>
    </row>
    <row r="255" spans="2:6" x14ac:dyDescent="0.25">
      <c r="B255" t="s">
        <v>774</v>
      </c>
      <c r="C255" s="17" t="str">
        <f>VLOOKUP(Table4[[#This Row],[Name]],Table1[[Player]:[Status]],4,FALSE)</f>
        <v>W &lt;small&gt;(Mon)&lt;/small&gt;</v>
      </c>
      <c r="D255" s="17" t="str">
        <f>VLOOKUP(Table4[[#This Row],[Name]],Table1[[Player]:[FP/G]],3,FALSE)</f>
        <v>D</v>
      </c>
      <c r="E255" s="17">
        <f>VLOOKUP(Table4[[#This Row],[Name]],Table1[[Player]:[Age]],5,FALSE)</f>
        <v>33</v>
      </c>
      <c r="F255" s="10">
        <f>MAX(
  _xlfn.IFNA(_xlfn.XLOOKUP(B255,'C'!B:B,'C'!E:E),  -1000000000),
  _xlfn.IFNA(_xlfn.XLOOKUP(B255, LW!B:B, LW!E:E), -1000000000),
  _xlfn.IFNA(_xlfn.XLOOKUP(B255, RW!B:B, RW!E:E), -1000000000),
  _xlfn.IFNA(_xlfn.XLOOKUP(B255, D!B:B,  D!E:E),  -1000000000)
)</f>
        <v>-0.28371928535199009</v>
      </c>
    </row>
    <row r="256" spans="2:6" x14ac:dyDescent="0.25">
      <c r="B256" t="s">
        <v>668</v>
      </c>
      <c r="C256" s="17" t="str">
        <f>VLOOKUP(Table4[[#This Row],[Name]],Table1[[Player]:[Status]],4,FALSE)</f>
        <v>W &lt;small&gt;(Mon)&lt;/small&gt;</v>
      </c>
      <c r="D256" s="17" t="str">
        <f>VLOOKUP(Table4[[#This Row],[Name]],Table1[[Player]:[FP/G]],3,FALSE)</f>
        <v>D</v>
      </c>
      <c r="E256" s="17">
        <f>VLOOKUP(Table4[[#This Row],[Name]],Table1[[Player]:[Age]],5,FALSE)</f>
        <v>29</v>
      </c>
      <c r="F256" s="10">
        <f>MAX(
  _xlfn.IFNA(_xlfn.XLOOKUP(B256,'C'!B:B,'C'!E:E),  -1000000000),
  _xlfn.IFNA(_xlfn.XLOOKUP(B256, LW!B:B, LW!E:E), -1000000000),
  _xlfn.IFNA(_xlfn.XLOOKUP(B256, RW!B:B, RW!E:E), -1000000000),
  _xlfn.IFNA(_xlfn.XLOOKUP(B256, D!B:B,  D!E:E),  -1000000000)
)</f>
        <v>-0.3025097730305002</v>
      </c>
    </row>
    <row r="257" spans="2:6" x14ac:dyDescent="0.25">
      <c r="B257" t="s">
        <v>1599</v>
      </c>
      <c r="C257" s="17" t="str">
        <f>VLOOKUP(Table4[[#This Row],[Name]],Table1[[Player]:[Status]],4,FALSE)</f>
        <v>W &lt;small&gt;(Mon)&lt;/small&gt;</v>
      </c>
      <c r="D257" s="17" t="str">
        <f>VLOOKUP(Table4[[#This Row],[Name]],Table1[[Player]:[FP/G]],3,FALSE)</f>
        <v>D</v>
      </c>
      <c r="E257" s="17">
        <f>VLOOKUP(Table4[[#This Row],[Name]],Table1[[Player]:[Age]],5,FALSE)</f>
        <v>25</v>
      </c>
      <c r="F257" s="10">
        <f>MAX(
  _xlfn.IFNA(_xlfn.XLOOKUP(B257,'C'!B:B,'C'!E:E),  -1000000000),
  _xlfn.IFNA(_xlfn.XLOOKUP(B257, LW!B:B, LW!E:E), -1000000000),
  _xlfn.IFNA(_xlfn.XLOOKUP(B257, RW!B:B, RW!E:E), -1000000000),
  _xlfn.IFNA(_xlfn.XLOOKUP(B257, D!B:B,  D!E:E),  -1000000000)
)</f>
        <v>-0.3093622505645004</v>
      </c>
    </row>
    <row r="258" spans="2:6" x14ac:dyDescent="0.25">
      <c r="B258" t="s">
        <v>172</v>
      </c>
      <c r="C258" s="17" t="str">
        <f>VLOOKUP(Table4[[#This Row],[Name]],Table1[[Player]:[Status]],4,FALSE)</f>
        <v>Shannon</v>
      </c>
      <c r="D258" s="17" t="str">
        <f>VLOOKUP(Table4[[#This Row],[Name]],Table1[[Player]:[FP/G]],3,FALSE)</f>
        <v>RW</v>
      </c>
      <c r="E258" s="17">
        <f>VLOOKUP(Table4[[#This Row],[Name]],Table1[[Player]:[Age]],5,FALSE)</f>
        <v>33</v>
      </c>
      <c r="F258" s="10">
        <f>MAX(
  _xlfn.IFNA(_xlfn.XLOOKUP(B258,'C'!B:B,'C'!E:E),  -1000000000),
  _xlfn.IFNA(_xlfn.XLOOKUP(B258, LW!B:B, LW!E:E), -1000000000),
  _xlfn.IFNA(_xlfn.XLOOKUP(B258, RW!B:B, RW!E:E), -1000000000),
  _xlfn.IFNA(_xlfn.XLOOKUP(B258, D!B:B,  D!E:E),  -1000000000)
)</f>
        <v>-0.32673307713911992</v>
      </c>
    </row>
    <row r="259" spans="2:6" x14ac:dyDescent="0.25">
      <c r="B259" t="s">
        <v>356</v>
      </c>
      <c r="C259" s="17" t="str">
        <f>VLOOKUP(Table4[[#This Row],[Name]],Table1[[Player]:[Status]],4,FALSE)</f>
        <v>Gary</v>
      </c>
      <c r="D259" s="17" t="str">
        <f>VLOOKUP(Table4[[#This Row],[Name]],Table1[[Player]:[FP/G]],3,FALSE)</f>
        <v>C</v>
      </c>
      <c r="E259" s="17">
        <f>VLOOKUP(Table4[[#This Row],[Name]],Table1[[Player]:[Age]],5,FALSE)</f>
        <v>26</v>
      </c>
      <c r="F259" s="10">
        <f>MAX(
  _xlfn.IFNA(_xlfn.XLOOKUP(B259,'C'!B:B,'C'!E:E),  -1000000000),
  _xlfn.IFNA(_xlfn.XLOOKUP(B259, LW!B:B, LW!E:E), -1000000000),
  _xlfn.IFNA(_xlfn.XLOOKUP(B259, RW!B:B, RW!E:E), -1000000000),
  _xlfn.IFNA(_xlfn.XLOOKUP(B259, D!B:B,  D!E:E),  -1000000000)
)</f>
        <v>-0.32704698799029064</v>
      </c>
    </row>
    <row r="260" spans="2:6" x14ac:dyDescent="0.25">
      <c r="B260" t="s">
        <v>694</v>
      </c>
      <c r="C260" s="17" t="str">
        <f>VLOOKUP(Table4[[#This Row],[Name]],Table1[[Player]:[Status]],4,FALSE)</f>
        <v>Logan</v>
      </c>
      <c r="D260" s="17" t="str">
        <f>VLOOKUP(Table4[[#This Row],[Name]],Table1[[Player]:[FP/G]],3,FALSE)</f>
        <v>D</v>
      </c>
      <c r="E260" s="17">
        <f>VLOOKUP(Table4[[#This Row],[Name]],Table1[[Player]:[Age]],5,FALSE)</f>
        <v>29</v>
      </c>
      <c r="F260" s="10">
        <f>MAX(
  _xlfn.IFNA(_xlfn.XLOOKUP(B260,'C'!B:B,'C'!E:E),  -1000000000),
  _xlfn.IFNA(_xlfn.XLOOKUP(B260, LW!B:B, LW!E:E), -1000000000),
  _xlfn.IFNA(_xlfn.XLOOKUP(B260, RW!B:B, RW!E:E), -1000000000),
  _xlfn.IFNA(_xlfn.XLOOKUP(B260, D!B:B,  D!E:E),  -1000000000)
)</f>
        <v>-0.33119780858389003</v>
      </c>
    </row>
    <row r="261" spans="2:6" x14ac:dyDescent="0.25">
      <c r="B261" t="s">
        <v>886</v>
      </c>
      <c r="C261" s="17" t="str">
        <f>VLOOKUP(Table4[[#This Row],[Name]],Table1[[Player]:[Status]],4,FALSE)</f>
        <v>Seth</v>
      </c>
      <c r="D261" s="17" t="str">
        <f>VLOOKUP(Table4[[#This Row],[Name]],Table1[[Player]:[FP/G]],3,FALSE)</f>
        <v>D</v>
      </c>
      <c r="E261" s="17">
        <f>VLOOKUP(Table4[[#This Row],[Name]],Table1[[Player]:[Age]],5,FALSE)</f>
        <v>30</v>
      </c>
      <c r="F261" s="10">
        <f>MAX(
  _xlfn.IFNA(_xlfn.XLOOKUP(B261,'C'!B:B,'C'!E:E),  -1000000000),
  _xlfn.IFNA(_xlfn.XLOOKUP(B261, LW!B:B, LW!E:E), -1000000000),
  _xlfn.IFNA(_xlfn.XLOOKUP(B261, RW!B:B, RW!E:E), -1000000000),
  _xlfn.IFNA(_xlfn.XLOOKUP(B261, D!B:B,  D!E:E),  -1000000000)
)</f>
        <v>-0.34540285940164006</v>
      </c>
    </row>
    <row r="262" spans="2:6" x14ac:dyDescent="0.25">
      <c r="B262" t="s">
        <v>936</v>
      </c>
      <c r="C262" s="17" t="str">
        <f>VLOOKUP(Table4[[#This Row],[Name]],Table1[[Player]:[Status]],4,FALSE)</f>
        <v>W &lt;small&gt;(Mon)&lt;/small&gt;</v>
      </c>
      <c r="D262" s="17" t="str">
        <f>VLOOKUP(Table4[[#This Row],[Name]],Table1[[Player]:[FP/G]],3,FALSE)</f>
        <v>D</v>
      </c>
      <c r="E262" s="17">
        <f>VLOOKUP(Table4[[#This Row],[Name]],Table1[[Player]:[Age]],5,FALSE)</f>
        <v>34</v>
      </c>
      <c r="F262" s="10">
        <f>MAX(
  _xlfn.IFNA(_xlfn.XLOOKUP(B262,'C'!B:B,'C'!E:E),  -1000000000),
  _xlfn.IFNA(_xlfn.XLOOKUP(B262, LW!B:B, LW!E:E), -1000000000),
  _xlfn.IFNA(_xlfn.XLOOKUP(B262, RW!B:B, RW!E:E), -1000000000),
  _xlfn.IFNA(_xlfn.XLOOKUP(B262, D!B:B,  D!E:E),  -1000000000)
)</f>
        <v>-0.35529440308911031</v>
      </c>
    </row>
    <row r="263" spans="2:6" x14ac:dyDescent="0.25">
      <c r="B263" t="s">
        <v>828</v>
      </c>
      <c r="C263" s="17" t="str">
        <f>VLOOKUP(Table4[[#This Row],[Name]],Table1[[Player]:[Status]],4,FALSE)</f>
        <v>W &lt;small&gt;(Mon)&lt;/small&gt;</v>
      </c>
      <c r="D263" s="17" t="str">
        <f>VLOOKUP(Table4[[#This Row],[Name]],Table1[[Player]:[FP/G]],3,FALSE)</f>
        <v>D</v>
      </c>
      <c r="E263" s="17">
        <f>VLOOKUP(Table4[[#This Row],[Name]],Table1[[Player]:[Age]],5,FALSE)</f>
        <v>30</v>
      </c>
      <c r="F263" s="10">
        <f>MAX(
  _xlfn.IFNA(_xlfn.XLOOKUP(B263,'C'!B:B,'C'!E:E),  -1000000000),
  _xlfn.IFNA(_xlfn.XLOOKUP(B263, LW!B:B, LW!E:E), -1000000000),
  _xlfn.IFNA(_xlfn.XLOOKUP(B263, RW!B:B, RW!E:E), -1000000000),
  _xlfn.IFNA(_xlfn.XLOOKUP(B263, D!B:B,  D!E:E),  -1000000000)
)</f>
        <v>-0.3676464772066601</v>
      </c>
    </row>
    <row r="264" spans="2:6" x14ac:dyDescent="0.25">
      <c r="B264" t="s">
        <v>442</v>
      </c>
      <c r="C264" s="17" t="str">
        <f>VLOOKUP(Table4[[#This Row],[Name]],Table1[[Player]:[Status]],4,FALSE)</f>
        <v>W &lt;small&gt;(Mon)&lt;/small&gt;</v>
      </c>
      <c r="D264" s="17" t="str">
        <f>VLOOKUP(Table4[[#This Row],[Name]],Table1[[Player]:[FP/G]],3,FALSE)</f>
        <v>C</v>
      </c>
      <c r="E264" s="17">
        <f>VLOOKUP(Table4[[#This Row],[Name]],Table1[[Player]:[Age]],5,FALSE)</f>
        <v>23</v>
      </c>
      <c r="F264" s="10">
        <f>MAX(
  _xlfn.IFNA(_xlfn.XLOOKUP(B264,'C'!B:B,'C'!E:E),  -1000000000),
  _xlfn.IFNA(_xlfn.XLOOKUP(B264, LW!B:B, LW!E:E), -1000000000),
  _xlfn.IFNA(_xlfn.XLOOKUP(B264, RW!B:B, RW!E:E), -1000000000),
  _xlfn.IFNA(_xlfn.XLOOKUP(B264, D!B:B,  D!E:E),  -1000000000)
)</f>
        <v>-0.37218926362199056</v>
      </c>
    </row>
    <row r="265" spans="2:6" x14ac:dyDescent="0.25">
      <c r="B265" t="s">
        <v>810</v>
      </c>
      <c r="C265" s="17" t="str">
        <f>VLOOKUP(Table4[[#This Row],[Name]],Table1[[Player]:[Status]],4,FALSE)</f>
        <v>W &lt;small&gt;(Mon)&lt;/small&gt;</v>
      </c>
      <c r="D265" s="17" t="str">
        <f>VLOOKUP(Table4[[#This Row],[Name]],Table1[[Player]:[FP/G]],3,FALSE)</f>
        <v>D</v>
      </c>
      <c r="E265" s="17">
        <f>VLOOKUP(Table4[[#This Row],[Name]],Table1[[Player]:[Age]],5,FALSE)</f>
        <v>36</v>
      </c>
      <c r="F265" s="10">
        <f>MAX(
  _xlfn.IFNA(_xlfn.XLOOKUP(B265,'C'!B:B,'C'!E:E),  -1000000000),
  _xlfn.IFNA(_xlfn.XLOOKUP(B265, LW!B:B, LW!E:E), -1000000000),
  _xlfn.IFNA(_xlfn.XLOOKUP(B265, RW!B:B, RW!E:E), -1000000000),
  _xlfn.IFNA(_xlfn.XLOOKUP(B265, D!B:B,  D!E:E),  -1000000000)
)</f>
        <v>-0.37381335152640016</v>
      </c>
    </row>
    <row r="266" spans="2:6" x14ac:dyDescent="0.25">
      <c r="B266" t="s">
        <v>1584</v>
      </c>
      <c r="C266" s="17" t="str">
        <f>VLOOKUP(Table4[[#This Row],[Name]],Table1[[Player]:[Status]],4,FALSE)</f>
        <v>Jason</v>
      </c>
      <c r="D266" s="17" t="str">
        <f>VLOOKUP(Table4[[#This Row],[Name]],Table1[[Player]:[FP/G]],3,FALSE)</f>
        <v>LW</v>
      </c>
      <c r="E266" s="17">
        <f>VLOOKUP(Table4[[#This Row],[Name]],Table1[[Player]:[Age]],5,FALSE)</f>
        <v>23</v>
      </c>
      <c r="F266" s="10">
        <f>MAX(
  _xlfn.IFNA(_xlfn.XLOOKUP(B266,'C'!B:B,'C'!E:E),  -1000000000),
  _xlfn.IFNA(_xlfn.XLOOKUP(B266, LW!B:B, LW!E:E), -1000000000),
  _xlfn.IFNA(_xlfn.XLOOKUP(B266, RW!B:B, RW!E:E), -1000000000),
  _xlfn.IFNA(_xlfn.XLOOKUP(B266, D!B:B,  D!E:E),  -1000000000)
)</f>
        <v>-0.37507353250560005</v>
      </c>
    </row>
    <row r="267" spans="2:6" x14ac:dyDescent="0.25">
      <c r="B267" t="s">
        <v>478</v>
      </c>
      <c r="C267" s="17" t="str">
        <f>VLOOKUP(Table4[[#This Row],[Name]],Table1[[Player]:[Status]],4,FALSE)</f>
        <v>Jason</v>
      </c>
      <c r="D267" s="17" t="str">
        <f>VLOOKUP(Table4[[#This Row],[Name]],Table1[[Player]:[FP/G]],3,FALSE)</f>
        <v>C,LW</v>
      </c>
      <c r="E267" s="17">
        <f>VLOOKUP(Table4[[#This Row],[Name]],Table1[[Player]:[Age]],5,FALSE)</f>
        <v>27</v>
      </c>
      <c r="F267" s="10">
        <f>MAX(
  _xlfn.IFNA(_xlfn.XLOOKUP(B267,'C'!B:B,'C'!E:E),  -1000000000),
  _xlfn.IFNA(_xlfn.XLOOKUP(B267, LW!B:B, LW!E:E), -1000000000),
  _xlfn.IFNA(_xlfn.XLOOKUP(B267, RW!B:B, RW!E:E), -1000000000),
  _xlfn.IFNA(_xlfn.XLOOKUP(B267, D!B:B,  D!E:E),  -1000000000)
)</f>
        <v>-0.38954515890783004</v>
      </c>
    </row>
    <row r="268" spans="2:6" x14ac:dyDescent="0.25">
      <c r="B268" t="s">
        <v>308</v>
      </c>
      <c r="C268" s="17" t="str">
        <f>VLOOKUP(Table4[[#This Row],[Name]],Table1[[Player]:[Status]],4,FALSE)</f>
        <v>Seth</v>
      </c>
      <c r="D268" s="17" t="str">
        <f>VLOOKUP(Table4[[#This Row],[Name]],Table1[[Player]:[FP/G]],3,FALSE)</f>
        <v>C,RW</v>
      </c>
      <c r="E268" s="17">
        <f>VLOOKUP(Table4[[#This Row],[Name]],Table1[[Player]:[Age]],5,FALSE)</f>
        <v>23</v>
      </c>
      <c r="F268" s="10">
        <f>MAX(
  _xlfn.IFNA(_xlfn.XLOOKUP(B268,'C'!B:B,'C'!E:E),  -1000000000),
  _xlfn.IFNA(_xlfn.XLOOKUP(B268, LW!B:B, LW!E:E), -1000000000),
  _xlfn.IFNA(_xlfn.XLOOKUP(B268, RW!B:B, RW!E:E), -1000000000),
  _xlfn.IFNA(_xlfn.XLOOKUP(B268, D!B:B,  D!E:E),  -1000000000)
)</f>
        <v>-0.39988317321263001</v>
      </c>
    </row>
    <row r="269" spans="2:6" x14ac:dyDescent="0.25">
      <c r="B269" t="s">
        <v>1589</v>
      </c>
      <c r="C269" s="17" t="str">
        <f>VLOOKUP(Table4[[#This Row],[Name]],Table1[[Player]:[Status]],4,FALSE)</f>
        <v>Logan</v>
      </c>
      <c r="D269" s="17" t="str">
        <f>VLOOKUP(Table4[[#This Row],[Name]],Table1[[Player]:[FP/G]],3,FALSE)</f>
        <v>LW</v>
      </c>
      <c r="E269" s="17">
        <f>VLOOKUP(Table4[[#This Row],[Name]],Table1[[Player]:[Age]],5,FALSE)</f>
        <v>23</v>
      </c>
      <c r="F269" s="10">
        <f>MAX(
  _xlfn.IFNA(_xlfn.XLOOKUP(B269,'C'!B:B,'C'!E:E),  -1000000000),
  _xlfn.IFNA(_xlfn.XLOOKUP(B269, LW!B:B, LW!E:E), -1000000000),
  _xlfn.IFNA(_xlfn.XLOOKUP(B269, RW!B:B, RW!E:E), -1000000000),
  _xlfn.IFNA(_xlfn.XLOOKUP(B269, D!B:B,  D!E:E),  -1000000000)
)</f>
        <v>-0.41082450734228004</v>
      </c>
    </row>
    <row r="270" spans="2:6" x14ac:dyDescent="0.25">
      <c r="B270" t="s">
        <v>864</v>
      </c>
      <c r="C270" s="17" t="str">
        <f>VLOOKUP(Table4[[#This Row],[Name]],Table1[[Player]:[Status]],4,FALSE)</f>
        <v>W &lt;small&gt;(Mon)&lt;/small&gt;</v>
      </c>
      <c r="D270" s="17" t="str">
        <f>VLOOKUP(Table4[[#This Row],[Name]],Table1[[Player]:[FP/G]],3,FALSE)</f>
        <v>D</v>
      </c>
      <c r="E270" s="17">
        <f>VLOOKUP(Table4[[#This Row],[Name]],Table1[[Player]:[Age]],5,FALSE)</f>
        <v>28</v>
      </c>
      <c r="F270" s="10">
        <f>MAX(
  _xlfn.IFNA(_xlfn.XLOOKUP(B270,'C'!B:B,'C'!E:E),  -1000000000),
  _xlfn.IFNA(_xlfn.XLOOKUP(B270, LW!B:B, LW!E:E), -1000000000),
  _xlfn.IFNA(_xlfn.XLOOKUP(B270, RW!B:B, RW!E:E), -1000000000),
  _xlfn.IFNA(_xlfn.XLOOKUP(B270, D!B:B,  D!E:E),  -1000000000)
)</f>
        <v>-0.41114370704349001</v>
      </c>
    </row>
    <row r="271" spans="2:6" x14ac:dyDescent="0.25">
      <c r="B271" t="s">
        <v>1050</v>
      </c>
      <c r="C271" s="17" t="str">
        <f>VLOOKUP(Table4[[#This Row],[Name]],Table1[[Player]:[Status]],4,FALSE)</f>
        <v>W &lt;small&gt;(Mon)&lt;/small&gt;</v>
      </c>
      <c r="D271" s="17" t="str">
        <f>VLOOKUP(Table4[[#This Row],[Name]],Table1[[Player]:[FP/G]],3,FALSE)</f>
        <v>D</v>
      </c>
      <c r="E271" s="17">
        <f>VLOOKUP(Table4[[#This Row],[Name]],Table1[[Player]:[Age]],5,FALSE)</f>
        <v>34</v>
      </c>
      <c r="F271" s="10">
        <f>MAX(
  _xlfn.IFNA(_xlfn.XLOOKUP(B271,'C'!B:B,'C'!E:E),  -1000000000),
  _xlfn.IFNA(_xlfn.XLOOKUP(B271, LW!B:B, LW!E:E), -1000000000),
  _xlfn.IFNA(_xlfn.XLOOKUP(B271, RW!B:B, RW!E:E), -1000000000),
  _xlfn.IFNA(_xlfn.XLOOKUP(B271, D!B:B,  D!E:E),  -1000000000)
)</f>
        <v>-0.41227121706495007</v>
      </c>
    </row>
    <row r="272" spans="2:6" x14ac:dyDescent="0.25">
      <c r="B272" t="s">
        <v>656</v>
      </c>
      <c r="C272" s="17" t="str">
        <f>VLOOKUP(Table4[[#This Row],[Name]],Table1[[Player]:[Status]],4,FALSE)</f>
        <v>W &lt;small&gt;(Mon)&lt;/small&gt;</v>
      </c>
      <c r="D272" s="17" t="str">
        <f>VLOOKUP(Table4[[#This Row],[Name]],Table1[[Player]:[FP/G]],3,FALSE)</f>
        <v>D</v>
      </c>
      <c r="E272" s="17">
        <f>VLOOKUP(Table4[[#This Row],[Name]],Table1[[Player]:[Age]],5,FALSE)</f>
        <v>27</v>
      </c>
      <c r="F272" s="10">
        <f>MAX(
  _xlfn.IFNA(_xlfn.XLOOKUP(B272,'C'!B:B,'C'!E:E),  -1000000000),
  _xlfn.IFNA(_xlfn.XLOOKUP(B272, LW!B:B, LW!E:E), -1000000000),
  _xlfn.IFNA(_xlfn.XLOOKUP(B272, RW!B:B, RW!E:E), -1000000000),
  _xlfn.IFNA(_xlfn.XLOOKUP(B272, D!B:B,  D!E:E),  -1000000000)
)</f>
        <v>-0.42340940797083038</v>
      </c>
    </row>
    <row r="273" spans="2:6" x14ac:dyDescent="0.25">
      <c r="B273" t="s">
        <v>1012</v>
      </c>
      <c r="C273" s="17" t="str">
        <f>VLOOKUP(Table4[[#This Row],[Name]],Table1[[Player]:[Status]],4,FALSE)</f>
        <v>W &lt;small&gt;(Mon)&lt;/small&gt;</v>
      </c>
      <c r="D273" s="17" t="str">
        <f>VLOOKUP(Table4[[#This Row],[Name]],Table1[[Player]:[FP/G]],3,FALSE)</f>
        <v>D</v>
      </c>
      <c r="E273" s="17">
        <f>VLOOKUP(Table4[[#This Row],[Name]],Table1[[Player]:[Age]],5,FALSE)</f>
        <v>31</v>
      </c>
      <c r="F273" s="10">
        <f>MAX(
  _xlfn.IFNA(_xlfn.XLOOKUP(B273,'C'!B:B,'C'!E:E),  -1000000000),
  _xlfn.IFNA(_xlfn.XLOOKUP(B273, LW!B:B, LW!E:E), -1000000000),
  _xlfn.IFNA(_xlfn.XLOOKUP(B273, RW!B:B, RW!E:E), -1000000000),
  _xlfn.IFNA(_xlfn.XLOOKUP(B273, D!B:B,  D!E:E),  -1000000000)
)</f>
        <v>-0.44293441082863039</v>
      </c>
    </row>
    <row r="274" spans="2:6" x14ac:dyDescent="0.25">
      <c r="B274" t="s">
        <v>930</v>
      </c>
      <c r="C274" s="17" t="str">
        <f>VLOOKUP(Table4[[#This Row],[Name]],Table1[[Player]:[Status]],4,FALSE)</f>
        <v>W &lt;small&gt;(Mon)&lt;/small&gt;</v>
      </c>
      <c r="D274" s="17" t="str">
        <f>VLOOKUP(Table4[[#This Row],[Name]],Table1[[Player]:[FP/G]],3,FALSE)</f>
        <v>D</v>
      </c>
      <c r="E274" s="17">
        <f>VLOOKUP(Table4[[#This Row],[Name]],Table1[[Player]:[Age]],5,FALSE)</f>
        <v>27</v>
      </c>
      <c r="F274" s="10">
        <f>MAX(
  _xlfn.IFNA(_xlfn.XLOOKUP(B274,'C'!B:B,'C'!E:E),  -1000000000),
  _xlfn.IFNA(_xlfn.XLOOKUP(B274, LW!B:B, LW!E:E), -1000000000),
  _xlfn.IFNA(_xlfn.XLOOKUP(B274, RW!B:B, RW!E:E), -1000000000),
  _xlfn.IFNA(_xlfn.XLOOKUP(B274, D!B:B,  D!E:E),  -1000000000)
)</f>
        <v>-0.44663815797264039</v>
      </c>
    </row>
    <row r="275" spans="2:6" x14ac:dyDescent="0.25">
      <c r="B275" t="s">
        <v>812</v>
      </c>
      <c r="C275" s="17" t="str">
        <f>VLOOKUP(Table4[[#This Row],[Name]],Table1[[Player]:[Status]],4,FALSE)</f>
        <v>W &lt;small&gt;(Mon)&lt;/small&gt;</v>
      </c>
      <c r="D275" s="17" t="str">
        <f>VLOOKUP(Table4[[#This Row],[Name]],Table1[[Player]:[FP/G]],3,FALSE)</f>
        <v>D</v>
      </c>
      <c r="E275" s="17">
        <f>VLOOKUP(Table4[[#This Row],[Name]],Table1[[Player]:[Age]],5,FALSE)</f>
        <v>31</v>
      </c>
      <c r="F275" s="10">
        <f>MAX(
  _xlfn.IFNA(_xlfn.XLOOKUP(B275,'C'!B:B,'C'!E:E),  -1000000000),
  _xlfn.IFNA(_xlfn.XLOOKUP(B275, LW!B:B, LW!E:E), -1000000000),
  _xlfn.IFNA(_xlfn.XLOOKUP(B275, RW!B:B, RW!E:E), -1000000000),
  _xlfn.IFNA(_xlfn.XLOOKUP(B275, D!B:B,  D!E:E),  -1000000000)
)</f>
        <v>-0.46621816211985001</v>
      </c>
    </row>
    <row r="276" spans="2:6" x14ac:dyDescent="0.25">
      <c r="B276" t="s">
        <v>666</v>
      </c>
      <c r="C276" s="17" t="str">
        <f>VLOOKUP(Table4[[#This Row],[Name]],Table1[[Player]:[Status]],4,FALSE)</f>
        <v>W &lt;small&gt;(Mon)&lt;/small&gt;</v>
      </c>
      <c r="D276" s="17" t="str">
        <f>VLOOKUP(Table4[[#This Row],[Name]],Table1[[Player]:[FP/G]],3,FALSE)</f>
        <v>D</v>
      </c>
      <c r="E276" s="17">
        <f>VLOOKUP(Table4[[#This Row],[Name]],Table1[[Player]:[Age]],5,FALSE)</f>
        <v>29</v>
      </c>
      <c r="F276" s="10">
        <f>MAX(
  _xlfn.IFNA(_xlfn.XLOOKUP(B276,'C'!B:B,'C'!E:E),  -1000000000),
  _xlfn.IFNA(_xlfn.XLOOKUP(B276, LW!B:B, LW!E:E), -1000000000),
  _xlfn.IFNA(_xlfn.XLOOKUP(B276, RW!B:B, RW!E:E), -1000000000),
  _xlfn.IFNA(_xlfn.XLOOKUP(B276, D!B:B,  D!E:E),  -1000000000)
)</f>
        <v>-0.47332019845859019</v>
      </c>
    </row>
    <row r="277" spans="2:6" x14ac:dyDescent="0.25">
      <c r="B277" t="s">
        <v>1048</v>
      </c>
      <c r="C277" s="17" t="str">
        <f>VLOOKUP(Table4[[#This Row],[Name]],Table1[[Player]:[Status]],4,FALSE)</f>
        <v>W &lt;small&gt;(Mon)&lt;/small&gt;</v>
      </c>
      <c r="D277" s="17" t="str">
        <f>VLOOKUP(Table4[[#This Row],[Name]],Table1[[Player]:[FP/G]],3,FALSE)</f>
        <v>D</v>
      </c>
      <c r="E277" s="17">
        <f>VLOOKUP(Table4[[#This Row],[Name]],Table1[[Player]:[Age]],5,FALSE)</f>
        <v>36</v>
      </c>
      <c r="F277" s="10">
        <f>MAX(
  _xlfn.IFNA(_xlfn.XLOOKUP(B277,'C'!B:B,'C'!E:E),  -1000000000),
  _xlfn.IFNA(_xlfn.XLOOKUP(B277, LW!B:B, LW!E:E), -1000000000),
  _xlfn.IFNA(_xlfn.XLOOKUP(B277, RW!B:B, RW!E:E), -1000000000),
  _xlfn.IFNA(_xlfn.XLOOKUP(B277, D!B:B,  D!E:E),  -1000000000)
)</f>
        <v>-0.47374735878274032</v>
      </c>
    </row>
    <row r="278" spans="2:6" x14ac:dyDescent="0.25">
      <c r="B278" t="s">
        <v>896</v>
      </c>
      <c r="C278" s="17" t="str">
        <f>VLOOKUP(Table4[[#This Row],[Name]],Table1[[Player]:[Status]],4,FALSE)</f>
        <v>W &lt;small&gt;(Mon)&lt;/small&gt;</v>
      </c>
      <c r="D278" s="17" t="str">
        <f>VLOOKUP(Table4[[#This Row],[Name]],Table1[[Player]:[FP/G]],3,FALSE)</f>
        <v>D</v>
      </c>
      <c r="E278" s="17">
        <f>VLOOKUP(Table4[[#This Row],[Name]],Table1[[Player]:[Age]],5,FALSE)</f>
        <v>31</v>
      </c>
      <c r="F278" s="10">
        <f>MAX(
  _xlfn.IFNA(_xlfn.XLOOKUP(B278,'C'!B:B,'C'!E:E),  -1000000000),
  _xlfn.IFNA(_xlfn.XLOOKUP(B278, LW!B:B, LW!E:E), -1000000000),
  _xlfn.IFNA(_xlfn.XLOOKUP(B278, RW!B:B, RW!E:E), -1000000000),
  _xlfn.IFNA(_xlfn.XLOOKUP(B278, D!B:B,  D!E:E),  -1000000000)
)</f>
        <v>-0.48379785224175009</v>
      </c>
    </row>
    <row r="279" spans="2:6" x14ac:dyDescent="0.25">
      <c r="B279" t="s">
        <v>562</v>
      </c>
      <c r="C279" s="17" t="str">
        <f>VLOOKUP(Table4[[#This Row],[Name]],Table1[[Player]:[Status]],4,FALSE)</f>
        <v>W &lt;small&gt;(Mon)&lt;/small&gt;</v>
      </c>
      <c r="D279" s="17" t="str">
        <f>VLOOKUP(Table4[[#This Row],[Name]],Table1[[Player]:[FP/G]],3,FALSE)</f>
        <v>LW</v>
      </c>
      <c r="E279" s="17">
        <f>VLOOKUP(Table4[[#This Row],[Name]],Table1[[Player]:[Age]],5,FALSE)</f>
        <v>37</v>
      </c>
      <c r="F279" s="10">
        <f>MAX(
  _xlfn.IFNA(_xlfn.XLOOKUP(B279,'C'!B:B,'C'!E:E),  -1000000000),
  _xlfn.IFNA(_xlfn.XLOOKUP(B279, LW!B:B, LW!E:E), -1000000000),
  _xlfn.IFNA(_xlfn.XLOOKUP(B279, RW!B:B, RW!E:E), -1000000000),
  _xlfn.IFNA(_xlfn.XLOOKUP(B279, D!B:B,  D!E:E),  -1000000000)
)</f>
        <v>-0.48960808546750023</v>
      </c>
    </row>
    <row r="280" spans="2:6" x14ac:dyDescent="0.25">
      <c r="B280" t="s">
        <v>1602</v>
      </c>
      <c r="C280" s="17" t="str">
        <f>VLOOKUP(Table4[[#This Row],[Name]],Table1[[Player]:[Status]],4,FALSE)</f>
        <v>W &lt;small&gt;(Mon)&lt;/small&gt;</v>
      </c>
      <c r="D280" s="17" t="str">
        <f>VLOOKUP(Table4[[#This Row],[Name]],Table1[[Player]:[FP/G]],3,FALSE)</f>
        <v>RW</v>
      </c>
      <c r="E280" s="17">
        <f>VLOOKUP(Table4[[#This Row],[Name]],Table1[[Player]:[Age]],5,FALSE)</f>
        <v>23</v>
      </c>
      <c r="F280" s="10">
        <f>MAX(
  _xlfn.IFNA(_xlfn.XLOOKUP(B280,'C'!B:B,'C'!E:E),  -1000000000),
  _xlfn.IFNA(_xlfn.XLOOKUP(B280, LW!B:B, LW!E:E), -1000000000),
  _xlfn.IFNA(_xlfn.XLOOKUP(B280, RW!B:B, RW!E:E), -1000000000),
  _xlfn.IFNA(_xlfn.XLOOKUP(B280, D!B:B,  D!E:E),  -1000000000)
)</f>
        <v>-0.49071882586437976</v>
      </c>
    </row>
    <row r="281" spans="2:6" x14ac:dyDescent="0.25">
      <c r="B281" t="s">
        <v>878</v>
      </c>
      <c r="C281" s="17" t="str">
        <f>VLOOKUP(Table4[[#This Row],[Name]],Table1[[Player]:[Status]],4,FALSE)</f>
        <v>W &lt;small&gt;(Mon)&lt;/small&gt;</v>
      </c>
      <c r="D281" s="17" t="str">
        <f>VLOOKUP(Table4[[#This Row],[Name]],Table1[[Player]:[FP/G]],3,FALSE)</f>
        <v>D</v>
      </c>
      <c r="E281" s="17">
        <f>VLOOKUP(Table4[[#This Row],[Name]],Table1[[Player]:[Age]],5,FALSE)</f>
        <v>27</v>
      </c>
      <c r="F281" s="10">
        <f>MAX(
  _xlfn.IFNA(_xlfn.XLOOKUP(B281,'C'!B:B,'C'!E:E),  -1000000000),
  _xlfn.IFNA(_xlfn.XLOOKUP(B281, LW!B:B, LW!E:E), -1000000000),
  _xlfn.IFNA(_xlfn.XLOOKUP(B281, RW!B:B, RW!E:E), -1000000000),
  _xlfn.IFNA(_xlfn.XLOOKUP(B281, D!B:B,  D!E:E),  -1000000000)
)</f>
        <v>-0.50464013310110012</v>
      </c>
    </row>
    <row r="282" spans="2:6" x14ac:dyDescent="0.25">
      <c r="B282" t="s">
        <v>570</v>
      </c>
      <c r="C282" s="17" t="str">
        <f>VLOOKUP(Table4[[#This Row],[Name]],Table1[[Player]:[Status]],4,FALSE)</f>
        <v>Shannon</v>
      </c>
      <c r="D282" s="17" t="str">
        <f>VLOOKUP(Table4[[#This Row],[Name]],Table1[[Player]:[FP/G]],3,FALSE)</f>
        <v>LW,RW</v>
      </c>
      <c r="E282" s="17">
        <f>VLOOKUP(Table4[[#This Row],[Name]],Table1[[Player]:[Age]],5,FALSE)</f>
        <v>29</v>
      </c>
      <c r="F282" s="10">
        <f>MAX(
  _xlfn.IFNA(_xlfn.XLOOKUP(B282,'C'!B:B,'C'!E:E),  -1000000000),
  _xlfn.IFNA(_xlfn.XLOOKUP(B282, LW!B:B, LW!E:E), -1000000000),
  _xlfn.IFNA(_xlfn.XLOOKUP(B282, RW!B:B, RW!E:E), -1000000000),
  _xlfn.IFNA(_xlfn.XLOOKUP(B282, D!B:B,  D!E:E),  -1000000000)
)</f>
        <v>-0.51263116266343012</v>
      </c>
    </row>
    <row r="283" spans="2:6" x14ac:dyDescent="0.25">
      <c r="B283" t="s">
        <v>1086</v>
      </c>
      <c r="C283" s="17" t="str">
        <f>VLOOKUP(Table4[[#This Row],[Name]],Table1[[Player]:[Status]],4,FALSE)</f>
        <v>W &lt;small&gt;(Mon)&lt;/small&gt;</v>
      </c>
      <c r="D283" s="17" t="str">
        <f>VLOOKUP(Table4[[#This Row],[Name]],Table1[[Player]:[FP/G]],3,FALSE)</f>
        <v>D</v>
      </c>
      <c r="E283" s="17">
        <f>VLOOKUP(Table4[[#This Row],[Name]],Table1[[Player]:[Age]],5,FALSE)</f>
        <v>27</v>
      </c>
      <c r="F283" s="10">
        <f>MAX(
  _xlfn.IFNA(_xlfn.XLOOKUP(B283,'C'!B:B,'C'!E:E),  -1000000000),
  _xlfn.IFNA(_xlfn.XLOOKUP(B283, LW!B:B, LW!E:E), -1000000000),
  _xlfn.IFNA(_xlfn.XLOOKUP(B283, RW!B:B, RW!E:E), -1000000000),
  _xlfn.IFNA(_xlfn.XLOOKUP(B283, D!B:B,  D!E:E),  -1000000000)
)</f>
        <v>-0.51442915384206023</v>
      </c>
    </row>
    <row r="284" spans="2:6" x14ac:dyDescent="0.25">
      <c r="B284" t="s">
        <v>1042</v>
      </c>
      <c r="C284" s="17" t="str">
        <f>VLOOKUP(Table4[[#This Row],[Name]],Table1[[Player]:[Status]],4,FALSE)</f>
        <v>W &lt;small&gt;(Mon)&lt;/small&gt;</v>
      </c>
      <c r="D284" s="17" t="str">
        <f>VLOOKUP(Table4[[#This Row],[Name]],Table1[[Player]:[FP/G]],3,FALSE)</f>
        <v>D</v>
      </c>
      <c r="E284" s="17">
        <f>VLOOKUP(Table4[[#This Row],[Name]],Table1[[Player]:[Age]],5,FALSE)</f>
        <v>29</v>
      </c>
      <c r="F284" s="10">
        <f>MAX(
  _xlfn.IFNA(_xlfn.XLOOKUP(B284,'C'!B:B,'C'!E:E),  -1000000000),
  _xlfn.IFNA(_xlfn.XLOOKUP(B284, LW!B:B, LW!E:E), -1000000000),
  _xlfn.IFNA(_xlfn.XLOOKUP(B284, RW!B:B, RW!E:E), -1000000000),
  _xlfn.IFNA(_xlfn.XLOOKUP(B284, D!B:B,  D!E:E),  -1000000000)
)</f>
        <v>-0.51540010066876007</v>
      </c>
    </row>
    <row r="285" spans="2:6" x14ac:dyDescent="0.25">
      <c r="B285" t="s">
        <v>644</v>
      </c>
      <c r="C285" s="17" t="str">
        <f>VLOOKUP(Table4[[#This Row],[Name]],Table1[[Player]:[Status]],4,FALSE)</f>
        <v>W &lt;small&gt;(Mon)&lt;/small&gt;</v>
      </c>
      <c r="D285" s="17" t="str">
        <f>VLOOKUP(Table4[[#This Row],[Name]],Table1[[Player]:[FP/G]],3,FALSE)</f>
        <v>D</v>
      </c>
      <c r="E285" s="17">
        <f>VLOOKUP(Table4[[#This Row],[Name]],Table1[[Player]:[Age]],5,FALSE)</f>
        <v>33</v>
      </c>
      <c r="F285" s="10">
        <f>MAX(
  _xlfn.IFNA(_xlfn.XLOOKUP(B285,'C'!B:B,'C'!E:E),  -1000000000),
  _xlfn.IFNA(_xlfn.XLOOKUP(B285, LW!B:B, LW!E:E), -1000000000),
  _xlfn.IFNA(_xlfn.XLOOKUP(B285, RW!B:B, RW!E:E), -1000000000),
  _xlfn.IFNA(_xlfn.XLOOKUP(B285, D!B:B,  D!E:E),  -1000000000)
)</f>
        <v>-0.5161594324909502</v>
      </c>
    </row>
    <row r="286" spans="2:6" x14ac:dyDescent="0.25">
      <c r="B286" t="s">
        <v>596</v>
      </c>
      <c r="C286" s="17" t="str">
        <f>VLOOKUP(Table4[[#This Row],[Name]],Table1[[Player]:[Status]],4,FALSE)</f>
        <v>W &lt;small&gt;(Mon)&lt;/small&gt;</v>
      </c>
      <c r="D286" s="17" t="str">
        <f>VLOOKUP(Table4[[#This Row],[Name]],Table1[[Player]:[FP/G]],3,FALSE)</f>
        <v>C</v>
      </c>
      <c r="E286" s="17">
        <f>VLOOKUP(Table4[[#This Row],[Name]],Table1[[Player]:[Age]],5,FALSE)</f>
        <v>30</v>
      </c>
      <c r="F286" s="10">
        <f>MAX(
  _xlfn.IFNA(_xlfn.XLOOKUP(B286,'C'!B:B,'C'!E:E),  -1000000000),
  _xlfn.IFNA(_xlfn.XLOOKUP(B286, LW!B:B, LW!E:E), -1000000000),
  _xlfn.IFNA(_xlfn.XLOOKUP(B286, RW!B:B, RW!E:E), -1000000000),
  _xlfn.IFNA(_xlfn.XLOOKUP(B286, D!B:B,  D!E:E),  -1000000000)
)</f>
        <v>-0.51911807710684021</v>
      </c>
    </row>
    <row r="287" spans="2:6" x14ac:dyDescent="0.25">
      <c r="B287" t="s">
        <v>952</v>
      </c>
      <c r="C287" s="17" t="str">
        <f>VLOOKUP(Table4[[#This Row],[Name]],Table1[[Player]:[Status]],4,FALSE)</f>
        <v>W &lt;small&gt;(Mon)&lt;/small&gt;</v>
      </c>
      <c r="D287" s="17" t="str">
        <f>VLOOKUP(Table4[[#This Row],[Name]],Table1[[Player]:[FP/G]],3,FALSE)</f>
        <v>D</v>
      </c>
      <c r="E287" s="17">
        <f>VLOOKUP(Table4[[#This Row],[Name]],Table1[[Player]:[Age]],5,FALSE)</f>
        <v>28</v>
      </c>
      <c r="F287" s="10">
        <f>MAX(
  _xlfn.IFNA(_xlfn.XLOOKUP(B287,'C'!B:B,'C'!E:E),  -1000000000),
  _xlfn.IFNA(_xlfn.XLOOKUP(B287, LW!B:B, LW!E:E), -1000000000),
  _xlfn.IFNA(_xlfn.XLOOKUP(B287, RW!B:B, RW!E:E), -1000000000),
  _xlfn.IFNA(_xlfn.XLOOKUP(B287, D!B:B,  D!E:E),  -1000000000)
)</f>
        <v>-0.5237239446106603</v>
      </c>
    </row>
    <row r="288" spans="2:6" x14ac:dyDescent="0.25">
      <c r="B288" t="s">
        <v>862</v>
      </c>
      <c r="C288" s="17" t="str">
        <f>VLOOKUP(Table4[[#This Row],[Name]],Table1[[Player]:[Status]],4,FALSE)</f>
        <v>W &lt;small&gt;(Mon)&lt;/small&gt;</v>
      </c>
      <c r="D288" s="17" t="str">
        <f>VLOOKUP(Table4[[#This Row],[Name]],Table1[[Player]:[FP/G]],3,FALSE)</f>
        <v>D</v>
      </c>
      <c r="E288" s="17">
        <f>VLOOKUP(Table4[[#This Row],[Name]],Table1[[Player]:[Age]],5,FALSE)</f>
        <v>32</v>
      </c>
      <c r="F288" s="10">
        <f>MAX(
  _xlfn.IFNA(_xlfn.XLOOKUP(B288,'C'!B:B,'C'!E:E),  -1000000000),
  _xlfn.IFNA(_xlfn.XLOOKUP(B288, LW!B:B, LW!E:E), -1000000000),
  _xlfn.IFNA(_xlfn.XLOOKUP(B288, RW!B:B, RW!E:E), -1000000000),
  _xlfn.IFNA(_xlfn.XLOOKUP(B288, D!B:B,  D!E:E),  -1000000000)
)</f>
        <v>-0.52529749674840032</v>
      </c>
    </row>
    <row r="289" spans="2:6" x14ac:dyDescent="0.25">
      <c r="B289" t="s">
        <v>642</v>
      </c>
      <c r="C289" s="17" t="str">
        <f>VLOOKUP(Table4[[#This Row],[Name]],Table1[[Player]:[Status]],4,FALSE)</f>
        <v>W &lt;small&gt;(Mon)&lt;/small&gt;</v>
      </c>
      <c r="D289" s="17" t="str">
        <f>VLOOKUP(Table4[[#This Row],[Name]],Table1[[Player]:[FP/G]],3,FALSE)</f>
        <v>D</v>
      </c>
      <c r="E289" s="17">
        <f>VLOOKUP(Table4[[#This Row],[Name]],Table1[[Player]:[Age]],5,FALSE)</f>
        <v>34</v>
      </c>
      <c r="F289" s="10">
        <f>MAX(
  _xlfn.IFNA(_xlfn.XLOOKUP(B289,'C'!B:B,'C'!E:E),  -1000000000),
  _xlfn.IFNA(_xlfn.XLOOKUP(B289, LW!B:B, LW!E:E), -1000000000),
  _xlfn.IFNA(_xlfn.XLOOKUP(B289, RW!B:B, RW!E:E), -1000000000),
  _xlfn.IFNA(_xlfn.XLOOKUP(B289, D!B:B,  D!E:E),  -1000000000)
)</f>
        <v>-0.52669605224723037</v>
      </c>
    </row>
    <row r="290" spans="2:6" x14ac:dyDescent="0.25">
      <c r="B290" t="s">
        <v>398</v>
      </c>
      <c r="C290" s="17" t="str">
        <f>VLOOKUP(Table4[[#This Row],[Name]],Table1[[Player]:[Status]],4,FALSE)</f>
        <v>Abby</v>
      </c>
      <c r="D290" s="17" t="str">
        <f>VLOOKUP(Table4[[#This Row],[Name]],Table1[[Player]:[FP/G]],3,FALSE)</f>
        <v>LW</v>
      </c>
      <c r="E290" s="17">
        <f>VLOOKUP(Table4[[#This Row],[Name]],Table1[[Player]:[Age]],5,FALSE)</f>
        <v>22</v>
      </c>
      <c r="F290" s="10">
        <f>MAX(
  _xlfn.IFNA(_xlfn.XLOOKUP(B290,'C'!B:B,'C'!E:E),  -1000000000),
  _xlfn.IFNA(_xlfn.XLOOKUP(B290, LW!B:B, LW!E:E), -1000000000),
  _xlfn.IFNA(_xlfn.XLOOKUP(B290, RW!B:B, RW!E:E), -1000000000),
  _xlfn.IFNA(_xlfn.XLOOKUP(B290, D!B:B,  D!E:E),  -1000000000)
)</f>
        <v>-0.53146190527253001</v>
      </c>
    </row>
    <row r="291" spans="2:6" x14ac:dyDescent="0.25">
      <c r="B291" t="s">
        <v>754</v>
      </c>
      <c r="C291" s="17" t="str">
        <f>VLOOKUP(Table4[[#This Row],[Name]],Table1[[Player]:[Status]],4,FALSE)</f>
        <v>W &lt;small&gt;(Mon)&lt;/small&gt;</v>
      </c>
      <c r="D291" s="17" t="str">
        <f>VLOOKUP(Table4[[#This Row],[Name]],Table1[[Player]:[FP/G]],3,FALSE)</f>
        <v>LW,RW</v>
      </c>
      <c r="E291" s="17">
        <f>VLOOKUP(Table4[[#This Row],[Name]],Table1[[Player]:[Age]],5,FALSE)</f>
        <v>32</v>
      </c>
      <c r="F291" s="10">
        <f>MAX(
  _xlfn.IFNA(_xlfn.XLOOKUP(B291,'C'!B:B,'C'!E:E),  -1000000000),
  _xlfn.IFNA(_xlfn.XLOOKUP(B291, LW!B:B, LW!E:E), -1000000000),
  _xlfn.IFNA(_xlfn.XLOOKUP(B291, RW!B:B, RW!E:E), -1000000000),
  _xlfn.IFNA(_xlfn.XLOOKUP(B291, D!B:B,  D!E:E),  -1000000000)
)</f>
        <v>-0.5347716506927398</v>
      </c>
    </row>
    <row r="292" spans="2:6" x14ac:dyDescent="0.25">
      <c r="B292" t="s">
        <v>838</v>
      </c>
      <c r="C292" s="17" t="str">
        <f>VLOOKUP(Table4[[#This Row],[Name]],Table1[[Player]:[Status]],4,FALSE)</f>
        <v>W &lt;small&gt;(Mon)&lt;/small&gt;</v>
      </c>
      <c r="D292" s="17" t="str">
        <f>VLOOKUP(Table4[[#This Row],[Name]],Table1[[Player]:[FP/G]],3,FALSE)</f>
        <v>D</v>
      </c>
      <c r="E292" s="17">
        <f>VLOOKUP(Table4[[#This Row],[Name]],Table1[[Player]:[Age]],5,FALSE)</f>
        <v>35</v>
      </c>
      <c r="F292" s="10">
        <f>MAX(
  _xlfn.IFNA(_xlfn.XLOOKUP(B292,'C'!B:B,'C'!E:E),  -1000000000),
  _xlfn.IFNA(_xlfn.XLOOKUP(B292, LW!B:B, LW!E:E), -1000000000),
  _xlfn.IFNA(_xlfn.XLOOKUP(B292, RW!B:B, RW!E:E), -1000000000),
  _xlfn.IFNA(_xlfn.XLOOKUP(B292, D!B:B,  D!E:E),  -1000000000)
)</f>
        <v>-0.53707710496288019</v>
      </c>
    </row>
    <row r="293" spans="2:6" x14ac:dyDescent="0.25">
      <c r="B293" t="s">
        <v>1182</v>
      </c>
      <c r="C293" s="17" t="str">
        <f>VLOOKUP(Table4[[#This Row],[Name]],Table1[[Player]:[Status]],4,FALSE)</f>
        <v>W &lt;small&gt;(Mon)&lt;/small&gt;</v>
      </c>
      <c r="D293" s="17" t="str">
        <f>VLOOKUP(Table4[[#This Row],[Name]],Table1[[Player]:[FP/G]],3,FALSE)</f>
        <v>D</v>
      </c>
      <c r="E293" s="17">
        <f>VLOOKUP(Table4[[#This Row],[Name]],Table1[[Player]:[Age]],5,FALSE)</f>
        <v>32</v>
      </c>
      <c r="F293" s="10">
        <f>MAX(
  _xlfn.IFNA(_xlfn.XLOOKUP(B293,'C'!B:B,'C'!E:E),  -1000000000),
  _xlfn.IFNA(_xlfn.XLOOKUP(B293, LW!B:B, LW!E:E), -1000000000),
  _xlfn.IFNA(_xlfn.XLOOKUP(B293, RW!B:B, RW!E:E), -1000000000),
  _xlfn.IFNA(_xlfn.XLOOKUP(B293, D!B:B,  D!E:E),  -1000000000)
)</f>
        <v>-0.5378506344606202</v>
      </c>
    </row>
    <row r="294" spans="2:6" x14ac:dyDescent="0.25">
      <c r="B294" t="s">
        <v>558</v>
      </c>
      <c r="C294" s="17" t="str">
        <f>VLOOKUP(Table4[[#This Row],[Name]],Table1[[Player]:[Status]],4,FALSE)</f>
        <v>Adam</v>
      </c>
      <c r="D294" s="17" t="str">
        <f>VLOOKUP(Table4[[#This Row],[Name]],Table1[[Player]:[FP/G]],3,FALSE)</f>
        <v>C</v>
      </c>
      <c r="E294" s="17">
        <f>VLOOKUP(Table4[[#This Row],[Name]],Table1[[Player]:[Age]],5,FALSE)</f>
        <v>25</v>
      </c>
      <c r="F294" s="10">
        <f>MAX(
  _xlfn.IFNA(_xlfn.XLOOKUP(B294,'C'!B:B,'C'!E:E),  -1000000000),
  _xlfn.IFNA(_xlfn.XLOOKUP(B294, LW!B:B, LW!E:E), -1000000000),
  _xlfn.IFNA(_xlfn.XLOOKUP(B294, RW!B:B, RW!E:E), -1000000000),
  _xlfn.IFNA(_xlfn.XLOOKUP(B294, D!B:B,  D!E:E),  -1000000000)
)</f>
        <v>-0.53803946294112048</v>
      </c>
    </row>
    <row r="295" spans="2:6" x14ac:dyDescent="0.25">
      <c r="B295" t="s">
        <v>1621</v>
      </c>
      <c r="C295" s="17" t="str">
        <f>VLOOKUP(Table4[[#This Row],[Name]],Table1[[Player]:[Status]],4,FALSE)</f>
        <v>W &lt;small&gt;(Mon)&lt;/small&gt;</v>
      </c>
      <c r="D295" s="17" t="str">
        <f>VLOOKUP(Table4[[#This Row],[Name]],Table1[[Player]:[FP/G]],3,FALSE)</f>
        <v>D</v>
      </c>
      <c r="E295" s="17">
        <f>VLOOKUP(Table4[[#This Row],[Name]],Table1[[Player]:[Age]],5,FALSE)</f>
        <v>29</v>
      </c>
      <c r="F295" s="10">
        <f>MAX(
  _xlfn.IFNA(_xlfn.XLOOKUP(B295,'C'!B:B,'C'!E:E),  -1000000000),
  _xlfn.IFNA(_xlfn.XLOOKUP(B295, LW!B:B, LW!E:E), -1000000000),
  _xlfn.IFNA(_xlfn.XLOOKUP(B295, RW!B:B, RW!E:E), -1000000000),
  _xlfn.IFNA(_xlfn.XLOOKUP(B295, D!B:B,  D!E:E),  -1000000000)
)</f>
        <v>-0.55427002657168023</v>
      </c>
    </row>
    <row r="296" spans="2:6" x14ac:dyDescent="0.25">
      <c r="B296" t="s">
        <v>1638</v>
      </c>
      <c r="C296" s="17" t="str">
        <f>VLOOKUP(Table4[[#This Row],[Name]],Table1[[Player]:[Status]],4,FALSE)</f>
        <v>W &lt;small&gt;(Mon)&lt;/small&gt;</v>
      </c>
      <c r="D296" s="17" t="str">
        <f>VLOOKUP(Table4[[#This Row],[Name]],Table1[[Player]:[FP/G]],3,FALSE)</f>
        <v>D</v>
      </c>
      <c r="E296" s="17">
        <f>VLOOKUP(Table4[[#This Row],[Name]],Table1[[Player]:[Age]],5,FALSE)</f>
        <v>21</v>
      </c>
      <c r="F296" s="10">
        <f>MAX(
  _xlfn.IFNA(_xlfn.XLOOKUP(B296,'C'!B:B,'C'!E:E),  -1000000000),
  _xlfn.IFNA(_xlfn.XLOOKUP(B296, LW!B:B, LW!E:E), -1000000000),
  _xlfn.IFNA(_xlfn.XLOOKUP(B296, RW!B:B, RW!E:E), -1000000000),
  _xlfn.IFNA(_xlfn.XLOOKUP(B296, D!B:B,  D!E:E),  -1000000000)
)</f>
        <v>-0.55605256457485019</v>
      </c>
    </row>
    <row r="297" spans="2:6" x14ac:dyDescent="0.25">
      <c r="B297" t="s">
        <v>424</v>
      </c>
      <c r="C297" s="17" t="str">
        <f>VLOOKUP(Table4[[#This Row],[Name]],Table1[[Player]:[Status]],4,FALSE)</f>
        <v>W &lt;small&gt;(Mon)&lt;/small&gt;</v>
      </c>
      <c r="D297" s="17" t="str">
        <f>VLOOKUP(Table4[[#This Row],[Name]],Table1[[Player]:[FP/G]],3,FALSE)</f>
        <v>C</v>
      </c>
      <c r="E297" s="17">
        <f>VLOOKUP(Table4[[#This Row],[Name]],Table1[[Player]:[Age]],5,FALSE)</f>
        <v>31</v>
      </c>
      <c r="F297" s="10">
        <f>MAX(
  _xlfn.IFNA(_xlfn.XLOOKUP(B297,'C'!B:B,'C'!E:E),  -1000000000),
  _xlfn.IFNA(_xlfn.XLOOKUP(B297, LW!B:B, LW!E:E), -1000000000),
  _xlfn.IFNA(_xlfn.XLOOKUP(B297, RW!B:B, RW!E:E), -1000000000),
  _xlfn.IFNA(_xlfn.XLOOKUP(B297, D!B:B,  D!E:E),  -1000000000)
)</f>
        <v>-0.55717027902686045</v>
      </c>
    </row>
    <row r="298" spans="2:6" x14ac:dyDescent="0.25">
      <c r="B298" t="s">
        <v>444</v>
      </c>
      <c r="C298" s="17" t="str">
        <f>VLOOKUP(Table4[[#This Row],[Name]],Table1[[Player]:[Status]],4,FALSE)</f>
        <v>Sam</v>
      </c>
      <c r="D298" s="17" t="str">
        <f>VLOOKUP(Table4[[#This Row],[Name]],Table1[[Player]:[FP/G]],3,FALSE)</f>
        <v>LW,RW</v>
      </c>
      <c r="E298" s="17">
        <f>VLOOKUP(Table4[[#This Row],[Name]],Table1[[Player]:[Age]],5,FALSE)</f>
        <v>32</v>
      </c>
      <c r="F298" s="10">
        <f>MAX(
  _xlfn.IFNA(_xlfn.XLOOKUP(B298,'C'!B:B,'C'!E:E),  -1000000000),
  _xlfn.IFNA(_xlfn.XLOOKUP(B298, LW!B:B, LW!E:E), -1000000000),
  _xlfn.IFNA(_xlfn.XLOOKUP(B298, RW!B:B, RW!E:E), -1000000000),
  _xlfn.IFNA(_xlfn.XLOOKUP(B298, D!B:B,  D!E:E),  -1000000000)
)</f>
        <v>-0.55786920686766006</v>
      </c>
    </row>
    <row r="299" spans="2:6" x14ac:dyDescent="0.25">
      <c r="B299" t="s">
        <v>874</v>
      </c>
      <c r="C299" s="17" t="str">
        <f>VLOOKUP(Table4[[#This Row],[Name]],Table1[[Player]:[Status]],4,FALSE)</f>
        <v>W &lt;small&gt;(Mon)&lt;/small&gt;</v>
      </c>
      <c r="D299" s="17" t="str">
        <f>VLOOKUP(Table4[[#This Row],[Name]],Table1[[Player]:[FP/G]],3,FALSE)</f>
        <v>D</v>
      </c>
      <c r="E299" s="17">
        <f>VLOOKUP(Table4[[#This Row],[Name]],Table1[[Player]:[Age]],5,FALSE)</f>
        <v>28</v>
      </c>
      <c r="F299" s="10">
        <f>MAX(
  _xlfn.IFNA(_xlfn.XLOOKUP(B299,'C'!B:B,'C'!E:E),  -1000000000),
  _xlfn.IFNA(_xlfn.XLOOKUP(B299, LW!B:B, LW!E:E), -1000000000),
  _xlfn.IFNA(_xlfn.XLOOKUP(B299, RW!B:B, RW!E:E), -1000000000),
  _xlfn.IFNA(_xlfn.XLOOKUP(B299, D!B:B,  D!E:E),  -1000000000)
)</f>
        <v>-0.57593741262773035</v>
      </c>
    </row>
    <row r="300" spans="2:6" x14ac:dyDescent="0.25">
      <c r="B300" t="s">
        <v>984</v>
      </c>
      <c r="C300" s="17" t="str">
        <f>VLOOKUP(Table4[[#This Row],[Name]],Table1[[Player]:[Status]],4,FALSE)</f>
        <v>W &lt;small&gt;(Mon)&lt;/small&gt;</v>
      </c>
      <c r="D300" s="17" t="str">
        <f>VLOOKUP(Table4[[#This Row],[Name]],Table1[[Player]:[FP/G]],3,FALSE)</f>
        <v>D</v>
      </c>
      <c r="E300" s="17">
        <f>VLOOKUP(Table4[[#This Row],[Name]],Table1[[Player]:[Age]],5,FALSE)</f>
        <v>32</v>
      </c>
      <c r="F300" s="10">
        <f>MAX(
  _xlfn.IFNA(_xlfn.XLOOKUP(B300,'C'!B:B,'C'!E:E),  -1000000000),
  _xlfn.IFNA(_xlfn.XLOOKUP(B300, LW!B:B, LW!E:E), -1000000000),
  _xlfn.IFNA(_xlfn.XLOOKUP(B300, RW!B:B, RW!E:E), -1000000000),
  _xlfn.IFNA(_xlfn.XLOOKUP(B300, D!B:B,  D!E:E),  -1000000000)
)</f>
        <v>-0.58627594607873013</v>
      </c>
    </row>
    <row r="301" spans="2:6" x14ac:dyDescent="0.25">
      <c r="B301" t="s">
        <v>938</v>
      </c>
      <c r="C301" s="17" t="str">
        <f>VLOOKUP(Table4[[#This Row],[Name]],Table1[[Player]:[Status]],4,FALSE)</f>
        <v>W &lt;small&gt;(Mon)&lt;/small&gt;</v>
      </c>
      <c r="D301" s="17" t="str">
        <f>VLOOKUP(Table4[[#This Row],[Name]],Table1[[Player]:[FP/G]],3,FALSE)</f>
        <v>D</v>
      </c>
      <c r="E301" s="17">
        <f>VLOOKUP(Table4[[#This Row],[Name]],Table1[[Player]:[Age]],5,FALSE)</f>
        <v>34</v>
      </c>
      <c r="F301" s="10">
        <f>MAX(
  _xlfn.IFNA(_xlfn.XLOOKUP(B301,'C'!B:B,'C'!E:E),  -1000000000),
  _xlfn.IFNA(_xlfn.XLOOKUP(B301, LW!B:B, LW!E:E), -1000000000),
  _xlfn.IFNA(_xlfn.XLOOKUP(B301, RW!B:B, RW!E:E), -1000000000),
  _xlfn.IFNA(_xlfn.XLOOKUP(B301, D!B:B,  D!E:E),  -1000000000)
)</f>
        <v>-0.59088237620324024</v>
      </c>
    </row>
    <row r="302" spans="2:6" x14ac:dyDescent="0.25">
      <c r="B302" t="s">
        <v>942</v>
      </c>
      <c r="C302" s="17" t="str">
        <f>VLOOKUP(Table4[[#This Row],[Name]],Table1[[Player]:[Status]],4,FALSE)</f>
        <v>W &lt;small&gt;(Mon)&lt;/small&gt;</v>
      </c>
      <c r="D302" s="17" t="str">
        <f>VLOOKUP(Table4[[#This Row],[Name]],Table1[[Player]:[FP/G]],3,FALSE)</f>
        <v>D</v>
      </c>
      <c r="E302" s="17">
        <f>VLOOKUP(Table4[[#This Row],[Name]],Table1[[Player]:[Age]],5,FALSE)</f>
        <v>28</v>
      </c>
      <c r="F302" s="10">
        <f>MAX(
  _xlfn.IFNA(_xlfn.XLOOKUP(B302,'C'!B:B,'C'!E:E),  -1000000000),
  _xlfn.IFNA(_xlfn.XLOOKUP(B302, LW!B:B, LW!E:E), -1000000000),
  _xlfn.IFNA(_xlfn.XLOOKUP(B302, RW!B:B, RW!E:E), -1000000000),
  _xlfn.IFNA(_xlfn.XLOOKUP(B302, D!B:B,  D!E:E),  -1000000000)
)</f>
        <v>-0.59296323969490006</v>
      </c>
    </row>
    <row r="303" spans="2:6" x14ac:dyDescent="0.25">
      <c r="B303" t="s">
        <v>546</v>
      </c>
      <c r="C303" s="17" t="str">
        <f>VLOOKUP(Table4[[#This Row],[Name]],Table1[[Player]:[Status]],4,FALSE)</f>
        <v>W &lt;small&gt;(Mon)&lt;/small&gt;</v>
      </c>
      <c r="D303" s="17" t="str">
        <f>VLOOKUP(Table4[[#This Row],[Name]],Table1[[Player]:[FP/G]],3,FALSE)</f>
        <v>C</v>
      </c>
      <c r="E303" s="17">
        <f>VLOOKUP(Table4[[#This Row],[Name]],Table1[[Player]:[Age]],5,FALSE)</f>
        <v>33</v>
      </c>
      <c r="F303" s="10">
        <f>MAX(
  _xlfn.IFNA(_xlfn.XLOOKUP(B303,'C'!B:B,'C'!E:E),  -1000000000),
  _xlfn.IFNA(_xlfn.XLOOKUP(B303, LW!B:B, LW!E:E), -1000000000),
  _xlfn.IFNA(_xlfn.XLOOKUP(B303, RW!B:B, RW!E:E), -1000000000),
  _xlfn.IFNA(_xlfn.XLOOKUP(B303, D!B:B,  D!E:E),  -1000000000)
)</f>
        <v>-0.59691254547772044</v>
      </c>
    </row>
    <row r="304" spans="2:6" x14ac:dyDescent="0.25">
      <c r="B304" t="s">
        <v>536</v>
      </c>
      <c r="C304" s="17" t="str">
        <f>VLOOKUP(Table4[[#This Row],[Name]],Table1[[Player]:[Status]],4,FALSE)</f>
        <v>W &lt;small&gt;(Mon)&lt;/small&gt;</v>
      </c>
      <c r="D304" s="17" t="str">
        <f>VLOOKUP(Table4[[#This Row],[Name]],Table1[[Player]:[FP/G]],3,FALSE)</f>
        <v>C</v>
      </c>
      <c r="E304" s="17">
        <f>VLOOKUP(Table4[[#This Row],[Name]],Table1[[Player]:[Age]],5,FALSE)</f>
        <v>32</v>
      </c>
      <c r="F304" s="10">
        <f>MAX(
  _xlfn.IFNA(_xlfn.XLOOKUP(B304,'C'!B:B,'C'!E:E),  -1000000000),
  _xlfn.IFNA(_xlfn.XLOOKUP(B304, LW!B:B, LW!E:E), -1000000000),
  _xlfn.IFNA(_xlfn.XLOOKUP(B304, RW!B:B, RW!E:E), -1000000000),
  _xlfn.IFNA(_xlfn.XLOOKUP(B304, D!B:B,  D!E:E),  -1000000000)
)</f>
        <v>-0.60361783713922046</v>
      </c>
    </row>
    <row r="305" spans="2:6" x14ac:dyDescent="0.25">
      <c r="B305" t="s">
        <v>946</v>
      </c>
      <c r="C305" s="17" t="str">
        <f>VLOOKUP(Table4[[#This Row],[Name]],Table1[[Player]:[Status]],4,FALSE)</f>
        <v>W &lt;small&gt;(Mon)&lt;/small&gt;</v>
      </c>
      <c r="D305" s="17" t="str">
        <f>VLOOKUP(Table4[[#This Row],[Name]],Table1[[Player]:[FP/G]],3,FALSE)</f>
        <v>D</v>
      </c>
      <c r="E305" s="17">
        <f>VLOOKUP(Table4[[#This Row],[Name]],Table1[[Player]:[Age]],5,FALSE)</f>
        <v>25</v>
      </c>
      <c r="F305" s="10">
        <f>MAX(
  _xlfn.IFNA(_xlfn.XLOOKUP(B305,'C'!B:B,'C'!E:E),  -1000000000),
  _xlfn.IFNA(_xlfn.XLOOKUP(B305, LW!B:B, LW!E:E), -1000000000),
  _xlfn.IFNA(_xlfn.XLOOKUP(B305, RW!B:B, RW!E:E), -1000000000),
  _xlfn.IFNA(_xlfn.XLOOKUP(B305, D!B:B,  D!E:E),  -1000000000)
)</f>
        <v>-0.60540471853265032</v>
      </c>
    </row>
    <row r="306" spans="2:6" x14ac:dyDescent="0.25">
      <c r="B306" t="s">
        <v>362</v>
      </c>
      <c r="C306" s="17" t="str">
        <f>VLOOKUP(Table4[[#This Row],[Name]],Table1[[Player]:[Status]],4,FALSE)</f>
        <v>Seth</v>
      </c>
      <c r="D306" s="17" t="str">
        <f>VLOOKUP(Table4[[#This Row],[Name]],Table1[[Player]:[FP/G]],3,FALSE)</f>
        <v>C,RW</v>
      </c>
      <c r="E306" s="17">
        <f>VLOOKUP(Table4[[#This Row],[Name]],Table1[[Player]:[Age]],5,FALSE)</f>
        <v>30</v>
      </c>
      <c r="F306" s="10">
        <f>MAX(
  _xlfn.IFNA(_xlfn.XLOOKUP(B306,'C'!B:B,'C'!E:E),  -1000000000),
  _xlfn.IFNA(_xlfn.XLOOKUP(B306, LW!B:B, LW!E:E), -1000000000),
  _xlfn.IFNA(_xlfn.XLOOKUP(B306, RW!B:B, RW!E:E), -1000000000),
  _xlfn.IFNA(_xlfn.XLOOKUP(B306, D!B:B,  D!E:E),  -1000000000)
)</f>
        <v>-0.60896248911946049</v>
      </c>
    </row>
    <row r="307" spans="2:6" x14ac:dyDescent="0.25">
      <c r="B307" t="s">
        <v>988</v>
      </c>
      <c r="C307" s="17" t="str">
        <f>VLOOKUP(Table4[[#This Row],[Name]],Table1[[Player]:[Status]],4,FALSE)</f>
        <v>W &lt;small&gt;(Mon)&lt;/small&gt;</v>
      </c>
      <c r="D307" s="17" t="str">
        <f>VLOOKUP(Table4[[#This Row],[Name]],Table1[[Player]:[FP/G]],3,FALSE)</f>
        <v>D</v>
      </c>
      <c r="E307" s="17">
        <f>VLOOKUP(Table4[[#This Row],[Name]],Table1[[Player]:[Age]],5,FALSE)</f>
        <v>31</v>
      </c>
      <c r="F307" s="10">
        <f>MAX(
  _xlfn.IFNA(_xlfn.XLOOKUP(B307,'C'!B:B,'C'!E:E),  -1000000000),
  _xlfn.IFNA(_xlfn.XLOOKUP(B307, LW!B:B, LW!E:E), -1000000000),
  _xlfn.IFNA(_xlfn.XLOOKUP(B307, RW!B:B, RW!E:E), -1000000000),
  _xlfn.IFNA(_xlfn.XLOOKUP(B307, D!B:B,  D!E:E),  -1000000000)
)</f>
        <v>-0.6121434121389604</v>
      </c>
    </row>
    <row r="308" spans="2:6" x14ac:dyDescent="0.25">
      <c r="B308" t="s">
        <v>868</v>
      </c>
      <c r="C308" s="17" t="str">
        <f>VLOOKUP(Table4[[#This Row],[Name]],Table1[[Player]:[Status]],4,FALSE)</f>
        <v>W &lt;small&gt;(Mon)&lt;/small&gt;</v>
      </c>
      <c r="D308" s="17" t="str">
        <f>VLOOKUP(Table4[[#This Row],[Name]],Table1[[Player]:[FP/G]],3,FALSE)</f>
        <v>D</v>
      </c>
      <c r="E308" s="17">
        <f>VLOOKUP(Table4[[#This Row],[Name]],Table1[[Player]:[Age]],5,FALSE)</f>
        <v>28</v>
      </c>
      <c r="F308" s="10">
        <f>MAX(
  _xlfn.IFNA(_xlfn.XLOOKUP(B308,'C'!B:B,'C'!E:E),  -1000000000),
  _xlfn.IFNA(_xlfn.XLOOKUP(B308, LW!B:B, LW!E:E), -1000000000),
  _xlfn.IFNA(_xlfn.XLOOKUP(B308, RW!B:B, RW!E:E), -1000000000),
  _xlfn.IFNA(_xlfn.XLOOKUP(B308, D!B:B,  D!E:E),  -1000000000)
)</f>
        <v>-0.61420442983177015</v>
      </c>
    </row>
    <row r="309" spans="2:6" x14ac:dyDescent="0.25">
      <c r="B309" t="s">
        <v>1024</v>
      </c>
      <c r="C309" s="17" t="str">
        <f>VLOOKUP(Table4[[#This Row],[Name]],Table1[[Player]:[Status]],4,FALSE)</f>
        <v>W &lt;small&gt;(Mon)&lt;/small&gt;</v>
      </c>
      <c r="D309" s="17" t="str">
        <f>VLOOKUP(Table4[[#This Row],[Name]],Table1[[Player]:[FP/G]],3,FALSE)</f>
        <v>D</v>
      </c>
      <c r="E309" s="17">
        <f>VLOOKUP(Table4[[#This Row],[Name]],Table1[[Player]:[Age]],5,FALSE)</f>
        <v>31</v>
      </c>
      <c r="F309" s="10">
        <f>MAX(
  _xlfn.IFNA(_xlfn.XLOOKUP(B309,'C'!B:B,'C'!E:E),  -1000000000),
  _xlfn.IFNA(_xlfn.XLOOKUP(B309, LW!B:B, LW!E:E), -1000000000),
  _xlfn.IFNA(_xlfn.XLOOKUP(B309, RW!B:B, RW!E:E), -1000000000),
  _xlfn.IFNA(_xlfn.XLOOKUP(B309, D!B:B,  D!E:E),  -1000000000)
)</f>
        <v>-0.63976810899880032</v>
      </c>
    </row>
    <row r="310" spans="2:6" x14ac:dyDescent="0.25">
      <c r="B310" t="s">
        <v>458</v>
      </c>
      <c r="C310" s="17" t="str">
        <f>VLOOKUP(Table4[[#This Row],[Name]],Table1[[Player]:[Status]],4,FALSE)</f>
        <v>W &lt;small&gt;(Mon)&lt;/small&gt;</v>
      </c>
      <c r="D310" s="17" t="str">
        <f>VLOOKUP(Table4[[#This Row],[Name]],Table1[[Player]:[FP/G]],3,FALSE)</f>
        <v>C,LW</v>
      </c>
      <c r="E310" s="17">
        <f>VLOOKUP(Table4[[#This Row],[Name]],Table1[[Player]:[Age]],5,FALSE)</f>
        <v>34</v>
      </c>
      <c r="F310" s="10">
        <f>MAX(
  _xlfn.IFNA(_xlfn.XLOOKUP(B310,'C'!B:B,'C'!E:E),  -1000000000),
  _xlfn.IFNA(_xlfn.XLOOKUP(B310, LW!B:B, LW!E:E), -1000000000),
  _xlfn.IFNA(_xlfn.XLOOKUP(B310, RW!B:B, RW!E:E), -1000000000),
  _xlfn.IFNA(_xlfn.XLOOKUP(B310, D!B:B,  D!E:E),  -1000000000)
)</f>
        <v>-0.64543077225606016</v>
      </c>
    </row>
    <row r="311" spans="2:6" x14ac:dyDescent="0.25">
      <c r="B311" t="s">
        <v>640</v>
      </c>
      <c r="C311" s="17" t="str">
        <f>VLOOKUP(Table4[[#This Row],[Name]],Table1[[Player]:[Status]],4,FALSE)</f>
        <v>W &lt;small&gt;(Mon)&lt;/small&gt;</v>
      </c>
      <c r="D311" s="17" t="str">
        <f>VLOOKUP(Table4[[#This Row],[Name]],Table1[[Player]:[FP/G]],3,FALSE)</f>
        <v>D</v>
      </c>
      <c r="E311" s="17">
        <f>VLOOKUP(Table4[[#This Row],[Name]],Table1[[Player]:[Age]],5,FALSE)</f>
        <v>28</v>
      </c>
      <c r="F311" s="10">
        <f>MAX(
  _xlfn.IFNA(_xlfn.XLOOKUP(B311,'C'!B:B,'C'!E:E),  -1000000000),
  _xlfn.IFNA(_xlfn.XLOOKUP(B311, LW!B:B, LW!E:E), -1000000000),
  _xlfn.IFNA(_xlfn.XLOOKUP(B311, RW!B:B, RW!E:E), -1000000000),
  _xlfn.IFNA(_xlfn.XLOOKUP(B311, D!B:B,  D!E:E),  -1000000000)
)</f>
        <v>-0.64985547326604021</v>
      </c>
    </row>
    <row r="312" spans="2:6" x14ac:dyDescent="0.25">
      <c r="B312" t="s">
        <v>716</v>
      </c>
      <c r="C312" s="17" t="str">
        <f>VLOOKUP(Table4[[#This Row],[Name]],Table1[[Player]:[Status]],4,FALSE)</f>
        <v>W &lt;small&gt;(Mon)&lt;/small&gt;</v>
      </c>
      <c r="D312" s="17" t="str">
        <f>VLOOKUP(Table4[[#This Row],[Name]],Table1[[Player]:[FP/G]],3,FALSE)</f>
        <v>D</v>
      </c>
      <c r="E312" s="17">
        <f>VLOOKUP(Table4[[#This Row],[Name]],Table1[[Player]:[Age]],5,FALSE)</f>
        <v>23</v>
      </c>
      <c r="F312" s="10">
        <f>MAX(
  _xlfn.IFNA(_xlfn.XLOOKUP(B312,'C'!B:B,'C'!E:E),  -1000000000),
  _xlfn.IFNA(_xlfn.XLOOKUP(B312, LW!B:B, LW!E:E), -1000000000),
  _xlfn.IFNA(_xlfn.XLOOKUP(B312, RW!B:B, RW!E:E), -1000000000),
  _xlfn.IFNA(_xlfn.XLOOKUP(B312, D!B:B,  D!E:E),  -1000000000)
)</f>
        <v>-0.66271068231014008</v>
      </c>
    </row>
    <row r="313" spans="2:6" x14ac:dyDescent="0.25">
      <c r="B313" t="s">
        <v>408</v>
      </c>
      <c r="C313" s="17" t="str">
        <f>VLOOKUP(Table4[[#This Row],[Name]],Table1[[Player]:[Status]],4,FALSE)</f>
        <v>Adam</v>
      </c>
      <c r="D313" s="17" t="str">
        <f>VLOOKUP(Table4[[#This Row],[Name]],Table1[[Player]:[FP/G]],3,FALSE)</f>
        <v>LW</v>
      </c>
      <c r="E313" s="17">
        <f>VLOOKUP(Table4[[#This Row],[Name]],Table1[[Player]:[Age]],5,FALSE)</f>
        <v>24</v>
      </c>
      <c r="F313" s="10">
        <f>MAX(
  _xlfn.IFNA(_xlfn.XLOOKUP(B313,'C'!B:B,'C'!E:E),  -1000000000),
  _xlfn.IFNA(_xlfn.XLOOKUP(B313, LW!B:B, LW!E:E), -1000000000),
  _xlfn.IFNA(_xlfn.XLOOKUP(B313, RW!B:B, RW!E:E), -1000000000),
  _xlfn.IFNA(_xlfn.XLOOKUP(B313, D!B:B,  D!E:E),  -1000000000)
)</f>
        <v>-0.66539661465851996</v>
      </c>
    </row>
    <row r="314" spans="2:6" x14ac:dyDescent="0.25">
      <c r="B314" t="s">
        <v>488</v>
      </c>
      <c r="C314" s="17" t="str">
        <f>VLOOKUP(Table4[[#This Row],[Name]],Table1[[Player]:[Status]],4,FALSE)</f>
        <v>W &lt;small&gt;(Mon)&lt;/small&gt;</v>
      </c>
      <c r="D314" s="17" t="str">
        <f>VLOOKUP(Table4[[#This Row],[Name]],Table1[[Player]:[FP/G]],3,FALSE)</f>
        <v>C</v>
      </c>
      <c r="E314" s="17">
        <f>VLOOKUP(Table4[[#This Row],[Name]],Table1[[Player]:[Age]],5,FALSE)</f>
        <v>32</v>
      </c>
      <c r="F314" s="10">
        <f>MAX(
  _xlfn.IFNA(_xlfn.XLOOKUP(B314,'C'!B:B,'C'!E:E),  -1000000000),
  _xlfn.IFNA(_xlfn.XLOOKUP(B314, LW!B:B, LW!E:E), -1000000000),
  _xlfn.IFNA(_xlfn.XLOOKUP(B314, RW!B:B, RW!E:E), -1000000000),
  _xlfn.IFNA(_xlfn.XLOOKUP(B314, D!B:B,  D!E:E),  -1000000000)
)</f>
        <v>-0.6686855516739505</v>
      </c>
    </row>
    <row r="315" spans="2:6" x14ac:dyDescent="0.25">
      <c r="B315" t="s">
        <v>1592</v>
      </c>
      <c r="C315" s="17" t="str">
        <f>VLOOKUP(Table4[[#This Row],[Name]],Table1[[Player]:[Status]],4,FALSE)</f>
        <v>W &lt;small&gt;(Mon)&lt;/small&gt;</v>
      </c>
      <c r="D315" s="17" t="str">
        <f>VLOOKUP(Table4[[#This Row],[Name]],Table1[[Player]:[FP/G]],3,FALSE)</f>
        <v>C,RW</v>
      </c>
      <c r="E315" s="17">
        <f>VLOOKUP(Table4[[#This Row],[Name]],Table1[[Player]:[Age]],5,FALSE)</f>
        <v>30</v>
      </c>
      <c r="F315" s="10">
        <f>MAX(
  _xlfn.IFNA(_xlfn.XLOOKUP(B315,'C'!B:B,'C'!E:E),  -1000000000),
  _xlfn.IFNA(_xlfn.XLOOKUP(B315, LW!B:B, LW!E:E), -1000000000),
  _xlfn.IFNA(_xlfn.XLOOKUP(B315, RW!B:B, RW!E:E), -1000000000),
  _xlfn.IFNA(_xlfn.XLOOKUP(B315, D!B:B,  D!E:E),  -1000000000)
)</f>
        <v>-0.67512339777098029</v>
      </c>
    </row>
    <row r="316" spans="2:6" x14ac:dyDescent="0.25">
      <c r="B316" t="s">
        <v>530</v>
      </c>
      <c r="C316" s="17" t="str">
        <f>VLOOKUP(Table4[[#This Row],[Name]],Table1[[Player]:[Status]],4,FALSE)</f>
        <v>W &lt;small&gt;(Mon)&lt;/small&gt;</v>
      </c>
      <c r="D316" s="17" t="str">
        <f>VLOOKUP(Table4[[#This Row],[Name]],Table1[[Player]:[FP/G]],3,FALSE)</f>
        <v>C</v>
      </c>
      <c r="E316" s="17">
        <f>VLOOKUP(Table4[[#This Row],[Name]],Table1[[Player]:[Age]],5,FALSE)</f>
        <v>22</v>
      </c>
      <c r="F316" s="10">
        <f>MAX(
  _xlfn.IFNA(_xlfn.XLOOKUP(B316,'C'!B:B,'C'!E:E),  -1000000000),
  _xlfn.IFNA(_xlfn.XLOOKUP(B316, LW!B:B, LW!E:E), -1000000000),
  _xlfn.IFNA(_xlfn.XLOOKUP(B316, RW!B:B, RW!E:E), -1000000000),
  _xlfn.IFNA(_xlfn.XLOOKUP(B316, D!B:B,  D!E:E),  -1000000000)
)</f>
        <v>-0.67574058296505024</v>
      </c>
    </row>
    <row r="317" spans="2:6" x14ac:dyDescent="0.25">
      <c r="B317" t="s">
        <v>548</v>
      </c>
      <c r="C317" s="17" t="str">
        <f>VLOOKUP(Table4[[#This Row],[Name]],Table1[[Player]:[Status]],4,FALSE)</f>
        <v>W &lt;small&gt;(Mon)&lt;/small&gt;</v>
      </c>
      <c r="D317" s="17" t="str">
        <f>VLOOKUP(Table4[[#This Row],[Name]],Table1[[Player]:[FP/G]],3,FALSE)</f>
        <v>C,LW,RW</v>
      </c>
      <c r="E317" s="17">
        <f>VLOOKUP(Table4[[#This Row],[Name]],Table1[[Player]:[Age]],5,FALSE)</f>
        <v>31</v>
      </c>
      <c r="F317" s="10">
        <f>MAX(
  _xlfn.IFNA(_xlfn.XLOOKUP(B317,'C'!B:B,'C'!E:E),  -1000000000),
  _xlfn.IFNA(_xlfn.XLOOKUP(B317, LW!B:B, LW!E:E), -1000000000),
  _xlfn.IFNA(_xlfn.XLOOKUP(B317, RW!B:B, RW!E:E), -1000000000),
  _xlfn.IFNA(_xlfn.XLOOKUP(B317, D!B:B,  D!E:E),  -1000000000)
)</f>
        <v>-0.68733071229724052</v>
      </c>
    </row>
    <row r="318" spans="2:6" x14ac:dyDescent="0.25">
      <c r="B318" t="s">
        <v>1058</v>
      </c>
      <c r="C318" s="17" t="str">
        <f>VLOOKUP(Table4[[#This Row],[Name]],Table1[[Player]:[Status]],4,FALSE)</f>
        <v>W &lt;small&gt;(Mon)&lt;/small&gt;</v>
      </c>
      <c r="D318" s="17" t="str">
        <f>VLOOKUP(Table4[[#This Row],[Name]],Table1[[Player]:[FP/G]],3,FALSE)</f>
        <v>D</v>
      </c>
      <c r="E318" s="17">
        <f>VLOOKUP(Table4[[#This Row],[Name]],Table1[[Player]:[Age]],5,FALSE)</f>
        <v>35</v>
      </c>
      <c r="F318" s="10">
        <f>MAX(
  _xlfn.IFNA(_xlfn.XLOOKUP(B318,'C'!B:B,'C'!E:E),  -1000000000),
  _xlfn.IFNA(_xlfn.XLOOKUP(B318, LW!B:B, LW!E:E), -1000000000),
  _xlfn.IFNA(_xlfn.XLOOKUP(B318, RW!B:B, RW!E:E), -1000000000),
  _xlfn.IFNA(_xlfn.XLOOKUP(B318, D!B:B,  D!E:E),  -1000000000)
)</f>
        <v>-0.68850079294912003</v>
      </c>
    </row>
    <row r="319" spans="2:6" x14ac:dyDescent="0.25">
      <c r="B319" t="s">
        <v>448</v>
      </c>
      <c r="C319" s="17" t="str">
        <f>VLOOKUP(Table4[[#This Row],[Name]],Table1[[Player]:[Status]],4,FALSE)</f>
        <v>Abby</v>
      </c>
      <c r="D319" s="17" t="str">
        <f>VLOOKUP(Table4[[#This Row],[Name]],Table1[[Player]:[FP/G]],3,FALSE)</f>
        <v>C</v>
      </c>
      <c r="E319" s="17">
        <f>VLOOKUP(Table4[[#This Row],[Name]],Table1[[Player]:[Age]],5,FALSE)</f>
        <v>26</v>
      </c>
      <c r="F319" s="10">
        <f>MAX(
  _xlfn.IFNA(_xlfn.XLOOKUP(B319,'C'!B:B,'C'!E:E),  -1000000000),
  _xlfn.IFNA(_xlfn.XLOOKUP(B319, LW!B:B, LW!E:E), -1000000000),
  _xlfn.IFNA(_xlfn.XLOOKUP(B319, RW!B:B, RW!E:E), -1000000000),
  _xlfn.IFNA(_xlfn.XLOOKUP(B319, D!B:B,  D!E:E),  -1000000000)
)</f>
        <v>-0.69291612085591048</v>
      </c>
    </row>
    <row r="320" spans="2:6" x14ac:dyDescent="0.25">
      <c r="B320" t="s">
        <v>998</v>
      </c>
      <c r="C320" s="17" t="str">
        <f>VLOOKUP(Table4[[#This Row],[Name]],Table1[[Player]:[Status]],4,FALSE)</f>
        <v>W &lt;small&gt;(Mon)&lt;/small&gt;</v>
      </c>
      <c r="D320" s="17" t="str">
        <f>VLOOKUP(Table4[[#This Row],[Name]],Table1[[Player]:[FP/G]],3,FALSE)</f>
        <v>D</v>
      </c>
      <c r="E320" s="17">
        <f>VLOOKUP(Table4[[#This Row],[Name]],Table1[[Player]:[Age]],5,FALSE)</f>
        <v>34</v>
      </c>
      <c r="F320" s="10">
        <f>MAX(
  _xlfn.IFNA(_xlfn.XLOOKUP(B320,'C'!B:B,'C'!E:E),  -1000000000),
  _xlfn.IFNA(_xlfn.XLOOKUP(B320, LW!B:B, LW!E:E), -1000000000),
  _xlfn.IFNA(_xlfn.XLOOKUP(B320, RW!B:B, RW!E:E), -1000000000),
  _xlfn.IFNA(_xlfn.XLOOKUP(B320, D!B:B,  D!E:E),  -1000000000)
)</f>
        <v>-0.69824880199113037</v>
      </c>
    </row>
    <row r="321" spans="2:6" x14ac:dyDescent="0.25">
      <c r="B321" t="s">
        <v>294</v>
      </c>
      <c r="C321" s="17" t="str">
        <f>VLOOKUP(Table4[[#This Row],[Name]],Table1[[Player]:[Status]],4,FALSE)</f>
        <v>Sam</v>
      </c>
      <c r="D321" s="17" t="str">
        <f>VLOOKUP(Table4[[#This Row],[Name]],Table1[[Player]:[FP/G]],3,FALSE)</f>
        <v>LW,RW</v>
      </c>
      <c r="E321" s="17">
        <f>VLOOKUP(Table4[[#This Row],[Name]],Table1[[Player]:[Age]],5,FALSE)</f>
        <v>23</v>
      </c>
      <c r="F321" s="10">
        <f>MAX(
  _xlfn.IFNA(_xlfn.XLOOKUP(B321,'C'!B:B,'C'!E:E),  -1000000000),
  _xlfn.IFNA(_xlfn.XLOOKUP(B321, LW!B:B, LW!E:E), -1000000000),
  _xlfn.IFNA(_xlfn.XLOOKUP(B321, RW!B:B, RW!E:E), -1000000000),
  _xlfn.IFNA(_xlfn.XLOOKUP(B321, D!B:B,  D!E:E),  -1000000000)
)</f>
        <v>-0.69851464695790977</v>
      </c>
    </row>
    <row r="322" spans="2:6" x14ac:dyDescent="0.25">
      <c r="B322" t="s">
        <v>392</v>
      </c>
      <c r="C322" s="17" t="str">
        <f>VLOOKUP(Table4[[#This Row],[Name]],Table1[[Player]:[Status]],4,FALSE)</f>
        <v>W &lt;small&gt;(Mon)&lt;/small&gt;</v>
      </c>
      <c r="D322" s="17" t="str">
        <f>VLOOKUP(Table4[[#This Row],[Name]],Table1[[Player]:[FP/G]],3,FALSE)</f>
        <v>C,LW</v>
      </c>
      <c r="E322" s="17">
        <f>VLOOKUP(Table4[[#This Row],[Name]],Table1[[Player]:[Age]],5,FALSE)</f>
        <v>35</v>
      </c>
      <c r="F322" s="10">
        <f>MAX(
  _xlfn.IFNA(_xlfn.XLOOKUP(B322,'C'!B:B,'C'!E:E),  -1000000000),
  _xlfn.IFNA(_xlfn.XLOOKUP(B322, LW!B:B, LW!E:E), -1000000000),
  _xlfn.IFNA(_xlfn.XLOOKUP(B322, RW!B:B, RW!E:E), -1000000000),
  _xlfn.IFNA(_xlfn.XLOOKUP(B322, D!B:B,  D!E:E),  -1000000000)
)</f>
        <v>-0.69987585582069034</v>
      </c>
    </row>
    <row r="323" spans="2:6" x14ac:dyDescent="0.25">
      <c r="B323" t="s">
        <v>332</v>
      </c>
      <c r="C323" s="17" t="str">
        <f>VLOOKUP(Table4[[#This Row],[Name]],Table1[[Player]:[Status]],4,FALSE)</f>
        <v>W &lt;small&gt;(Mon)&lt;/small&gt;</v>
      </c>
      <c r="D323" s="17" t="str">
        <f>VLOOKUP(Table4[[#This Row],[Name]],Table1[[Player]:[FP/G]],3,FALSE)</f>
        <v>C,LW</v>
      </c>
      <c r="E323" s="17">
        <f>VLOOKUP(Table4[[#This Row],[Name]],Table1[[Player]:[Age]],5,FALSE)</f>
        <v>25</v>
      </c>
      <c r="F323" s="10">
        <f>MAX(
  _xlfn.IFNA(_xlfn.XLOOKUP(B323,'C'!B:B,'C'!E:E),  -1000000000),
  _xlfn.IFNA(_xlfn.XLOOKUP(B323, LW!B:B, LW!E:E), -1000000000),
  _xlfn.IFNA(_xlfn.XLOOKUP(B323, RW!B:B, RW!E:E), -1000000000),
  _xlfn.IFNA(_xlfn.XLOOKUP(B323, D!B:B,  D!E:E),  -1000000000)
)</f>
        <v>-0.70536362711406042</v>
      </c>
    </row>
    <row r="324" spans="2:6" x14ac:dyDescent="0.25">
      <c r="B324" t="s">
        <v>1596</v>
      </c>
      <c r="C324" s="17" t="str">
        <f>VLOOKUP(Table4[[#This Row],[Name]],Table1[[Player]:[Status]],4,FALSE)</f>
        <v>Seth</v>
      </c>
      <c r="D324" s="17" t="str">
        <f>VLOOKUP(Table4[[#This Row],[Name]],Table1[[Player]:[FP/G]],3,FALSE)</f>
        <v>C,LW,RW</v>
      </c>
      <c r="E324" s="17">
        <f>VLOOKUP(Table4[[#This Row],[Name]],Table1[[Player]:[Age]],5,FALSE)</f>
        <v>23</v>
      </c>
      <c r="F324" s="10">
        <f>MAX(
  _xlfn.IFNA(_xlfn.XLOOKUP(B324,'C'!B:B,'C'!E:E),  -1000000000),
  _xlfn.IFNA(_xlfn.XLOOKUP(B324, LW!B:B, LW!E:E), -1000000000),
  _xlfn.IFNA(_xlfn.XLOOKUP(B324, RW!B:B, RW!E:E), -1000000000),
  _xlfn.IFNA(_xlfn.XLOOKUP(B324, D!B:B,  D!E:E),  -1000000000)
)</f>
        <v>-0.7146644419001702</v>
      </c>
    </row>
    <row r="325" spans="2:6" x14ac:dyDescent="0.25">
      <c r="B325" t="s">
        <v>960</v>
      </c>
      <c r="C325" s="17" t="str">
        <f>VLOOKUP(Table4[[#This Row],[Name]],Table1[[Player]:[Status]],4,FALSE)</f>
        <v>W &lt;small&gt;(Mon)&lt;/small&gt;</v>
      </c>
      <c r="D325" s="17" t="str">
        <f>VLOOKUP(Table4[[#This Row],[Name]],Table1[[Player]:[FP/G]],3,FALSE)</f>
        <v>LW</v>
      </c>
      <c r="E325" s="17">
        <f>VLOOKUP(Table4[[#This Row],[Name]],Table1[[Player]:[Age]],5,FALSE)</f>
        <v>24</v>
      </c>
      <c r="F325" s="10">
        <f>MAX(
  _xlfn.IFNA(_xlfn.XLOOKUP(B325,'C'!B:B,'C'!E:E),  -1000000000),
  _xlfn.IFNA(_xlfn.XLOOKUP(B325, LW!B:B, LW!E:E), -1000000000),
  _xlfn.IFNA(_xlfn.XLOOKUP(B325, RW!B:B, RW!E:E), -1000000000),
  _xlfn.IFNA(_xlfn.XLOOKUP(B325, D!B:B,  D!E:E),  -1000000000)
)</f>
        <v>-0.7163375144751698</v>
      </c>
    </row>
    <row r="326" spans="2:6" x14ac:dyDescent="0.25">
      <c r="B326" t="s">
        <v>1130</v>
      </c>
      <c r="C326" s="17" t="str">
        <f>VLOOKUP(Table4[[#This Row],[Name]],Table1[[Player]:[Status]],4,FALSE)</f>
        <v>W &lt;small&gt;(Mon)&lt;/small&gt;</v>
      </c>
      <c r="D326" s="17" t="str">
        <f>VLOOKUP(Table4[[#This Row],[Name]],Table1[[Player]:[FP/G]],3,FALSE)</f>
        <v>D</v>
      </c>
      <c r="E326" s="17">
        <f>VLOOKUP(Table4[[#This Row],[Name]],Table1[[Player]:[Age]],5,FALSE)</f>
        <v>34</v>
      </c>
      <c r="F326" s="10">
        <f>MAX(
  _xlfn.IFNA(_xlfn.XLOOKUP(B326,'C'!B:B,'C'!E:E),  -1000000000),
  _xlfn.IFNA(_xlfn.XLOOKUP(B326, LW!B:B, LW!E:E), -1000000000),
  _xlfn.IFNA(_xlfn.XLOOKUP(B326, RW!B:B, RW!E:E), -1000000000),
  _xlfn.IFNA(_xlfn.XLOOKUP(B326, D!B:B,  D!E:E),  -1000000000)
)</f>
        <v>-0.71654952797050031</v>
      </c>
    </row>
    <row r="327" spans="2:6" x14ac:dyDescent="0.25">
      <c r="B327" t="s">
        <v>1032</v>
      </c>
      <c r="C327" s="17" t="str">
        <f>VLOOKUP(Table4[[#This Row],[Name]],Table1[[Player]:[Status]],4,FALSE)</f>
        <v>W &lt;small&gt;(Mon)&lt;/small&gt;</v>
      </c>
      <c r="D327" s="17" t="str">
        <f>VLOOKUP(Table4[[#This Row],[Name]],Table1[[Player]:[FP/G]],3,FALSE)</f>
        <v>D</v>
      </c>
      <c r="E327" s="17">
        <f>VLOOKUP(Table4[[#This Row],[Name]],Table1[[Player]:[Age]],5,FALSE)</f>
        <v>26</v>
      </c>
      <c r="F327" s="10">
        <f>MAX(
  _xlfn.IFNA(_xlfn.XLOOKUP(B327,'C'!B:B,'C'!E:E),  -1000000000),
  _xlfn.IFNA(_xlfn.XLOOKUP(B327, LW!B:B, LW!E:E), -1000000000),
  _xlfn.IFNA(_xlfn.XLOOKUP(B327, RW!B:B, RW!E:E), -1000000000),
  _xlfn.IFNA(_xlfn.XLOOKUP(B327, D!B:B,  D!E:E),  -1000000000)
)</f>
        <v>-0.7165855576284903</v>
      </c>
    </row>
    <row r="328" spans="2:6" x14ac:dyDescent="0.25">
      <c r="B328" t="s">
        <v>590</v>
      </c>
      <c r="C328" s="17" t="str">
        <f>VLOOKUP(Table4[[#This Row],[Name]],Table1[[Player]:[Status]],4,FALSE)</f>
        <v>Adam</v>
      </c>
      <c r="D328" s="17" t="str">
        <f>VLOOKUP(Table4[[#This Row],[Name]],Table1[[Player]:[FP/G]],3,FALSE)</f>
        <v>C,RW</v>
      </c>
      <c r="E328" s="17">
        <f>VLOOKUP(Table4[[#This Row],[Name]],Table1[[Player]:[Age]],5,FALSE)</f>
        <v>32</v>
      </c>
      <c r="F328" s="10">
        <f>MAX(
  _xlfn.IFNA(_xlfn.XLOOKUP(B328,'C'!B:B,'C'!E:E),  -1000000000),
  _xlfn.IFNA(_xlfn.XLOOKUP(B328, LW!B:B, LW!E:E), -1000000000),
  _xlfn.IFNA(_xlfn.XLOOKUP(B328, RW!B:B, RW!E:E), -1000000000),
  _xlfn.IFNA(_xlfn.XLOOKUP(B328, D!B:B,  D!E:E),  -1000000000)
)</f>
        <v>-0.71822292695608025</v>
      </c>
    </row>
    <row r="329" spans="2:6" x14ac:dyDescent="0.25">
      <c r="B329" t="s">
        <v>892</v>
      </c>
      <c r="C329" s="17" t="str">
        <f>VLOOKUP(Table4[[#This Row],[Name]],Table1[[Player]:[Status]],4,FALSE)</f>
        <v>W &lt;small&gt;(Mon)&lt;/small&gt;</v>
      </c>
      <c r="D329" s="17" t="str">
        <f>VLOOKUP(Table4[[#This Row],[Name]],Table1[[Player]:[FP/G]],3,FALSE)</f>
        <v>D</v>
      </c>
      <c r="E329" s="17">
        <f>VLOOKUP(Table4[[#This Row],[Name]],Table1[[Player]:[Age]],5,FALSE)</f>
        <v>28</v>
      </c>
      <c r="F329" s="10">
        <f>MAX(
  _xlfn.IFNA(_xlfn.XLOOKUP(B329,'C'!B:B,'C'!E:E),  -1000000000),
  _xlfn.IFNA(_xlfn.XLOOKUP(B329, LW!B:B, LW!E:E), -1000000000),
  _xlfn.IFNA(_xlfn.XLOOKUP(B329, RW!B:B, RW!E:E), -1000000000),
  _xlfn.IFNA(_xlfn.XLOOKUP(B329, D!B:B,  D!E:E),  -1000000000)
)</f>
        <v>-0.7225204877235103</v>
      </c>
    </row>
    <row r="330" spans="2:6" x14ac:dyDescent="0.25">
      <c r="B330" t="s">
        <v>1108</v>
      </c>
      <c r="C330" s="17" t="str">
        <f>VLOOKUP(Table4[[#This Row],[Name]],Table1[[Player]:[Status]],4,FALSE)</f>
        <v>W &lt;small&gt;(Mon)&lt;/small&gt;</v>
      </c>
      <c r="D330" s="17" t="str">
        <f>VLOOKUP(Table4[[#This Row],[Name]],Table1[[Player]:[FP/G]],3,FALSE)</f>
        <v>D</v>
      </c>
      <c r="E330" s="17">
        <f>VLOOKUP(Table4[[#This Row],[Name]],Table1[[Player]:[Age]],5,FALSE)</f>
        <v>31</v>
      </c>
      <c r="F330" s="10">
        <f>MAX(
  _xlfn.IFNA(_xlfn.XLOOKUP(B330,'C'!B:B,'C'!E:E),  -1000000000),
  _xlfn.IFNA(_xlfn.XLOOKUP(B330, LW!B:B, LW!E:E), -1000000000),
  _xlfn.IFNA(_xlfn.XLOOKUP(B330, RW!B:B, RW!E:E), -1000000000),
  _xlfn.IFNA(_xlfn.XLOOKUP(B330, D!B:B,  D!E:E),  -1000000000)
)</f>
        <v>-0.72365735143104004</v>
      </c>
    </row>
    <row r="331" spans="2:6" x14ac:dyDescent="0.25">
      <c r="B331" t="s">
        <v>920</v>
      </c>
      <c r="C331" s="17" t="str">
        <f>VLOOKUP(Table4[[#This Row],[Name]],Table1[[Player]:[Status]],4,FALSE)</f>
        <v>W &lt;small&gt;(Mon)&lt;/small&gt;</v>
      </c>
      <c r="D331" s="17" t="str">
        <f>VLOOKUP(Table4[[#This Row],[Name]],Table1[[Player]:[FP/G]],3,FALSE)</f>
        <v>D</v>
      </c>
      <c r="E331" s="17">
        <f>VLOOKUP(Table4[[#This Row],[Name]],Table1[[Player]:[Age]],5,FALSE)</f>
        <v>31</v>
      </c>
      <c r="F331" s="10">
        <f>MAX(
  _xlfn.IFNA(_xlfn.XLOOKUP(B331,'C'!B:B,'C'!E:E),  -1000000000),
  _xlfn.IFNA(_xlfn.XLOOKUP(B331, LW!B:B, LW!E:E), -1000000000),
  _xlfn.IFNA(_xlfn.XLOOKUP(B331, RW!B:B, RW!E:E), -1000000000),
  _xlfn.IFNA(_xlfn.XLOOKUP(B331, D!B:B,  D!E:E),  -1000000000)
)</f>
        <v>-0.7307753243587003</v>
      </c>
    </row>
    <row r="332" spans="2:6" x14ac:dyDescent="0.25">
      <c r="B332" t="s">
        <v>914</v>
      </c>
      <c r="C332" s="17" t="str">
        <f>VLOOKUP(Table4[[#This Row],[Name]],Table1[[Player]:[Status]],4,FALSE)</f>
        <v>W &lt;small&gt;(Mon)&lt;/small&gt;</v>
      </c>
      <c r="D332" s="17" t="str">
        <f>VLOOKUP(Table4[[#This Row],[Name]],Table1[[Player]:[FP/G]],3,FALSE)</f>
        <v>D</v>
      </c>
      <c r="E332" s="17">
        <f>VLOOKUP(Table4[[#This Row],[Name]],Table1[[Player]:[Age]],5,FALSE)</f>
        <v>26</v>
      </c>
      <c r="F332" s="10">
        <f>MAX(
  _xlfn.IFNA(_xlfn.XLOOKUP(B332,'C'!B:B,'C'!E:E),  -1000000000),
  _xlfn.IFNA(_xlfn.XLOOKUP(B332, LW!B:B, LW!E:E), -1000000000),
  _xlfn.IFNA(_xlfn.XLOOKUP(B332, RW!B:B, RW!E:E), -1000000000),
  _xlfn.IFNA(_xlfn.XLOOKUP(B332, D!B:B,  D!E:E),  -1000000000)
)</f>
        <v>-0.73503376266507026</v>
      </c>
    </row>
    <row r="333" spans="2:6" x14ac:dyDescent="0.25">
      <c r="B333" t="s">
        <v>1074</v>
      </c>
      <c r="C333" s="17" t="str">
        <f>VLOOKUP(Table4[[#This Row],[Name]],Table1[[Player]:[Status]],4,FALSE)</f>
        <v>W &lt;small&gt;(Mon)&lt;/small&gt;</v>
      </c>
      <c r="D333" s="17" t="str">
        <f>VLOOKUP(Table4[[#This Row],[Name]],Table1[[Player]:[FP/G]],3,FALSE)</f>
        <v>D</v>
      </c>
      <c r="E333" s="17">
        <f>VLOOKUP(Table4[[#This Row],[Name]],Table1[[Player]:[Age]],5,FALSE)</f>
        <v>34</v>
      </c>
      <c r="F333" s="10">
        <f>MAX(
  _xlfn.IFNA(_xlfn.XLOOKUP(B333,'C'!B:B,'C'!E:E),  -1000000000),
  _xlfn.IFNA(_xlfn.XLOOKUP(B333, LW!B:B, LW!E:E), -1000000000),
  _xlfn.IFNA(_xlfn.XLOOKUP(B333, RW!B:B, RW!E:E), -1000000000),
  _xlfn.IFNA(_xlfn.XLOOKUP(B333, D!B:B,  D!E:E),  -1000000000)
)</f>
        <v>-0.73629757028990017</v>
      </c>
    </row>
    <row r="334" spans="2:6" x14ac:dyDescent="0.25">
      <c r="B334" t="s">
        <v>850</v>
      </c>
      <c r="C334" s="17" t="str">
        <f>VLOOKUP(Table4[[#This Row],[Name]],Table1[[Player]:[Status]],4,FALSE)</f>
        <v>W &lt;small&gt;(Mon)&lt;/small&gt;</v>
      </c>
      <c r="D334" s="17" t="str">
        <f>VLOOKUP(Table4[[#This Row],[Name]],Table1[[Player]:[FP/G]],3,FALSE)</f>
        <v>D</v>
      </c>
      <c r="E334" s="17">
        <f>VLOOKUP(Table4[[#This Row],[Name]],Table1[[Player]:[Age]],5,FALSE)</f>
        <v>26</v>
      </c>
      <c r="F334" s="10">
        <f>MAX(
  _xlfn.IFNA(_xlfn.XLOOKUP(B334,'C'!B:B,'C'!E:E),  -1000000000),
  _xlfn.IFNA(_xlfn.XLOOKUP(B334, LW!B:B, LW!E:E), -1000000000),
  _xlfn.IFNA(_xlfn.XLOOKUP(B334, RW!B:B, RW!E:E), -1000000000),
  _xlfn.IFNA(_xlfn.XLOOKUP(B334, D!B:B,  D!E:E),  -1000000000)
)</f>
        <v>-0.73872965641450028</v>
      </c>
    </row>
    <row r="335" spans="2:6" x14ac:dyDescent="0.25">
      <c r="B335" t="s">
        <v>564</v>
      </c>
      <c r="C335" s="17" t="str">
        <f>VLOOKUP(Table4[[#This Row],[Name]],Table1[[Player]:[Status]],4,FALSE)</f>
        <v>Seth</v>
      </c>
      <c r="D335" s="17" t="str">
        <f>VLOOKUP(Table4[[#This Row],[Name]],Table1[[Player]:[FP/G]],3,FALSE)</f>
        <v>LW,RW</v>
      </c>
      <c r="E335" s="17">
        <f>VLOOKUP(Table4[[#This Row],[Name]],Table1[[Player]:[Age]],5,FALSE)</f>
        <v>34</v>
      </c>
      <c r="F335" s="10">
        <f>MAX(
  _xlfn.IFNA(_xlfn.XLOOKUP(B335,'C'!B:B,'C'!E:E),  -1000000000),
  _xlfn.IFNA(_xlfn.XLOOKUP(B335, LW!B:B, LW!E:E), -1000000000),
  _xlfn.IFNA(_xlfn.XLOOKUP(B335, RW!B:B, RW!E:E), -1000000000),
  _xlfn.IFNA(_xlfn.XLOOKUP(B335, D!B:B,  D!E:E),  -1000000000)
)</f>
        <v>-0.74182746408568967</v>
      </c>
    </row>
    <row r="336" spans="2:6" x14ac:dyDescent="0.25">
      <c r="B336" t="s">
        <v>396</v>
      </c>
      <c r="C336" s="17" t="str">
        <f>VLOOKUP(Table4[[#This Row],[Name]],Table1[[Player]:[Status]],4,FALSE)</f>
        <v>W &lt;small&gt;(Mon)&lt;/small&gt;</v>
      </c>
      <c r="D336" s="17" t="str">
        <f>VLOOKUP(Table4[[#This Row],[Name]],Table1[[Player]:[FP/G]],3,FALSE)</f>
        <v>C,RW</v>
      </c>
      <c r="E336" s="17">
        <f>VLOOKUP(Table4[[#This Row],[Name]],Table1[[Player]:[Age]],5,FALSE)</f>
        <v>33</v>
      </c>
      <c r="F336" s="10">
        <f>MAX(
  _xlfn.IFNA(_xlfn.XLOOKUP(B336,'C'!B:B,'C'!E:E),  -1000000000),
  _xlfn.IFNA(_xlfn.XLOOKUP(B336, LW!B:B, LW!E:E), -1000000000),
  _xlfn.IFNA(_xlfn.XLOOKUP(B336, RW!B:B, RW!E:E), -1000000000),
  _xlfn.IFNA(_xlfn.XLOOKUP(B336, D!B:B,  D!E:E),  -1000000000)
)</f>
        <v>-0.74200719590610031</v>
      </c>
    </row>
    <row r="337" spans="2:6" x14ac:dyDescent="0.25">
      <c r="B337" t="s">
        <v>452</v>
      </c>
      <c r="C337" s="17" t="str">
        <f>VLOOKUP(Table4[[#This Row],[Name]],Table1[[Player]:[Status]],4,FALSE)</f>
        <v>Joel</v>
      </c>
      <c r="D337" s="17" t="str">
        <f>VLOOKUP(Table4[[#This Row],[Name]],Table1[[Player]:[FP/G]],3,FALSE)</f>
        <v>RW</v>
      </c>
      <c r="E337" s="17">
        <f>VLOOKUP(Table4[[#This Row],[Name]],Table1[[Player]:[Age]],5,FALSE)</f>
        <v>29</v>
      </c>
      <c r="F337" s="10">
        <f>MAX(
  _xlfn.IFNA(_xlfn.XLOOKUP(B337,'C'!B:B,'C'!E:E),  -1000000000),
  _xlfn.IFNA(_xlfn.XLOOKUP(B337, LW!B:B, LW!E:E), -1000000000),
  _xlfn.IFNA(_xlfn.XLOOKUP(B337, RW!B:B, RW!E:E), -1000000000),
  _xlfn.IFNA(_xlfn.XLOOKUP(B337, D!B:B,  D!E:E),  -1000000000)
)</f>
        <v>-0.75640677633820008</v>
      </c>
    </row>
    <row r="338" spans="2:6" x14ac:dyDescent="0.25">
      <c r="B338" t="s">
        <v>768</v>
      </c>
      <c r="C338" s="17" t="str">
        <f>VLOOKUP(Table4[[#This Row],[Name]],Table1[[Player]:[Status]],4,FALSE)</f>
        <v>W &lt;small&gt;(Mon)&lt;/small&gt;</v>
      </c>
      <c r="D338" s="17" t="str">
        <f>VLOOKUP(Table4[[#This Row],[Name]],Table1[[Player]:[FP/G]],3,FALSE)</f>
        <v>D</v>
      </c>
      <c r="E338" s="17">
        <f>VLOOKUP(Table4[[#This Row],[Name]],Table1[[Player]:[Age]],5,FALSE)</f>
        <v>30</v>
      </c>
      <c r="F338" s="10">
        <f>MAX(
  _xlfn.IFNA(_xlfn.XLOOKUP(B338,'C'!B:B,'C'!E:E),  -1000000000),
  _xlfn.IFNA(_xlfn.XLOOKUP(B338, LW!B:B, LW!E:E), -1000000000),
  _xlfn.IFNA(_xlfn.XLOOKUP(B338, RW!B:B, RW!E:E), -1000000000),
  _xlfn.IFNA(_xlfn.XLOOKUP(B338, D!B:B,  D!E:E),  -1000000000)
)</f>
        <v>-0.76838023524681009</v>
      </c>
    </row>
    <row r="339" spans="2:6" x14ac:dyDescent="0.25">
      <c r="B339" t="s">
        <v>454</v>
      </c>
      <c r="C339" s="17" t="str">
        <f>VLOOKUP(Table4[[#This Row],[Name]],Table1[[Player]:[Status]],4,FALSE)</f>
        <v>Joel</v>
      </c>
      <c r="D339" s="17" t="str">
        <f>VLOOKUP(Table4[[#This Row],[Name]],Table1[[Player]:[FP/G]],3,FALSE)</f>
        <v>LW</v>
      </c>
      <c r="E339" s="17">
        <f>VLOOKUP(Table4[[#This Row],[Name]],Table1[[Player]:[Age]],5,FALSE)</f>
        <v>33</v>
      </c>
      <c r="F339" s="10">
        <f>MAX(
  _xlfn.IFNA(_xlfn.XLOOKUP(B339,'C'!B:B,'C'!E:E),  -1000000000),
  _xlfn.IFNA(_xlfn.XLOOKUP(B339, LW!B:B, LW!E:E), -1000000000),
  _xlfn.IFNA(_xlfn.XLOOKUP(B339, RW!B:B, RW!E:E), -1000000000),
  _xlfn.IFNA(_xlfn.XLOOKUP(B339, D!B:B,  D!E:E),  -1000000000)
)</f>
        <v>-0.76964817224418969</v>
      </c>
    </row>
    <row r="340" spans="2:6" x14ac:dyDescent="0.25">
      <c r="B340" t="s">
        <v>916</v>
      </c>
      <c r="C340" s="17" t="str">
        <f>VLOOKUP(Table4[[#This Row],[Name]],Table1[[Player]:[Status]],4,FALSE)</f>
        <v>W &lt;small&gt;(Mon)&lt;/small&gt;</v>
      </c>
      <c r="D340" s="17" t="str">
        <f>VLOOKUP(Table4[[#This Row],[Name]],Table1[[Player]:[FP/G]],3,FALSE)</f>
        <v>D</v>
      </c>
      <c r="E340" s="17">
        <f>VLOOKUP(Table4[[#This Row],[Name]],Table1[[Player]:[Age]],5,FALSE)</f>
        <v>32</v>
      </c>
      <c r="F340" s="10">
        <f>MAX(
  _xlfn.IFNA(_xlfn.XLOOKUP(B340,'C'!B:B,'C'!E:E),  -1000000000),
  _xlfn.IFNA(_xlfn.XLOOKUP(B340, LW!B:B, LW!E:E), -1000000000),
  _xlfn.IFNA(_xlfn.XLOOKUP(B340, RW!B:B, RW!E:E), -1000000000),
  _xlfn.IFNA(_xlfn.XLOOKUP(B340, D!B:B,  D!E:E),  -1000000000)
)</f>
        <v>-0.78547408316805001</v>
      </c>
    </row>
    <row r="341" spans="2:6" x14ac:dyDescent="0.25">
      <c r="B341" t="s">
        <v>1347</v>
      </c>
      <c r="C341" s="17" t="str">
        <f>VLOOKUP(Table4[[#This Row],[Name]],Table1[[Player]:[Status]],4,FALSE)</f>
        <v>W &lt;small&gt;(Mon)&lt;/small&gt;</v>
      </c>
      <c r="D341" s="17" t="str">
        <f>VLOOKUP(Table4[[#This Row],[Name]],Table1[[Player]:[FP/G]],3,FALSE)</f>
        <v>D</v>
      </c>
      <c r="E341" s="17">
        <f>VLOOKUP(Table4[[#This Row],[Name]],Table1[[Player]:[Age]],5,FALSE)</f>
        <v>33</v>
      </c>
      <c r="F341" s="10">
        <f>MAX(
  _xlfn.IFNA(_xlfn.XLOOKUP(B341,'C'!B:B,'C'!E:E),  -1000000000),
  _xlfn.IFNA(_xlfn.XLOOKUP(B341, LW!B:B, LW!E:E), -1000000000),
  _xlfn.IFNA(_xlfn.XLOOKUP(B341, RW!B:B, RW!E:E), -1000000000),
  _xlfn.IFNA(_xlfn.XLOOKUP(B341, D!B:B,  D!E:E),  -1000000000)
)</f>
        <v>-0.78820319492321023</v>
      </c>
    </row>
    <row r="342" spans="2:6" x14ac:dyDescent="0.25">
      <c r="B342" t="s">
        <v>858</v>
      </c>
      <c r="C342" s="17" t="str">
        <f>VLOOKUP(Table4[[#This Row],[Name]],Table1[[Player]:[Status]],4,FALSE)</f>
        <v>W &lt;small&gt;(Mon)&lt;/small&gt;</v>
      </c>
      <c r="D342" s="17" t="str">
        <f>VLOOKUP(Table4[[#This Row],[Name]],Table1[[Player]:[FP/G]],3,FALSE)</f>
        <v>D</v>
      </c>
      <c r="E342" s="17">
        <f>VLOOKUP(Table4[[#This Row],[Name]],Table1[[Player]:[Age]],5,FALSE)</f>
        <v>30</v>
      </c>
      <c r="F342" s="10">
        <f>MAX(
  _xlfn.IFNA(_xlfn.XLOOKUP(B342,'C'!B:B,'C'!E:E),  -1000000000),
  _xlfn.IFNA(_xlfn.XLOOKUP(B342, LW!B:B, LW!E:E), -1000000000),
  _xlfn.IFNA(_xlfn.XLOOKUP(B342, RW!B:B, RW!E:E), -1000000000),
  _xlfn.IFNA(_xlfn.XLOOKUP(B342, D!B:B,  D!E:E),  -1000000000)
)</f>
        <v>-0.79167013996771018</v>
      </c>
    </row>
    <row r="343" spans="2:6" x14ac:dyDescent="0.25">
      <c r="B343" t="s">
        <v>460</v>
      </c>
      <c r="C343" s="17" t="str">
        <f>VLOOKUP(Table4[[#This Row],[Name]],Table1[[Player]:[Status]],4,FALSE)</f>
        <v>W &lt;small&gt;(Mon)&lt;/small&gt;</v>
      </c>
      <c r="D343" s="17" t="str">
        <f>VLOOKUP(Table4[[#This Row],[Name]],Table1[[Player]:[FP/G]],3,FALSE)</f>
        <v>C</v>
      </c>
      <c r="E343" s="17">
        <f>VLOOKUP(Table4[[#This Row],[Name]],Table1[[Player]:[Age]],5,FALSE)</f>
        <v>28</v>
      </c>
      <c r="F343" s="10">
        <f>MAX(
  _xlfn.IFNA(_xlfn.XLOOKUP(B343,'C'!B:B,'C'!E:E),  -1000000000),
  _xlfn.IFNA(_xlfn.XLOOKUP(B343, LW!B:B, LW!E:E), -1000000000),
  _xlfn.IFNA(_xlfn.XLOOKUP(B343, RW!B:B, RW!E:E), -1000000000),
  _xlfn.IFNA(_xlfn.XLOOKUP(B343, D!B:B,  D!E:E),  -1000000000)
)</f>
        <v>-0.79993231034347012</v>
      </c>
    </row>
    <row r="344" spans="2:6" x14ac:dyDescent="0.25">
      <c r="B344" t="s">
        <v>826</v>
      </c>
      <c r="C344" s="17" t="str">
        <f>VLOOKUP(Table4[[#This Row],[Name]],Table1[[Player]:[Status]],4,FALSE)</f>
        <v>W &lt;small&gt;(Mon)&lt;/small&gt;</v>
      </c>
      <c r="D344" s="17" t="str">
        <f>VLOOKUP(Table4[[#This Row],[Name]],Table1[[Player]:[FP/G]],3,FALSE)</f>
        <v>D</v>
      </c>
      <c r="E344" s="17">
        <f>VLOOKUP(Table4[[#This Row],[Name]],Table1[[Player]:[Age]],5,FALSE)</f>
        <v>30</v>
      </c>
      <c r="F344" s="10">
        <f>MAX(
  _xlfn.IFNA(_xlfn.XLOOKUP(B344,'C'!B:B,'C'!E:E),  -1000000000),
  _xlfn.IFNA(_xlfn.XLOOKUP(B344, LW!B:B, LW!E:E), -1000000000),
  _xlfn.IFNA(_xlfn.XLOOKUP(B344, RW!B:B, RW!E:E), -1000000000),
  _xlfn.IFNA(_xlfn.XLOOKUP(B344, D!B:B,  D!E:E),  -1000000000)
)</f>
        <v>-0.82431438074755015</v>
      </c>
    </row>
    <row r="345" spans="2:6" x14ac:dyDescent="0.25">
      <c r="B345" t="s">
        <v>434</v>
      </c>
      <c r="C345" s="17" t="str">
        <f>VLOOKUP(Table4[[#This Row],[Name]],Table1[[Player]:[Status]],4,FALSE)</f>
        <v>W &lt;small&gt;(Mon)&lt;/small&gt;</v>
      </c>
      <c r="D345" s="17" t="str">
        <f>VLOOKUP(Table4[[#This Row],[Name]],Table1[[Player]:[FP/G]],3,FALSE)</f>
        <v>C,LW</v>
      </c>
      <c r="E345" s="17">
        <f>VLOOKUP(Table4[[#This Row],[Name]],Table1[[Player]:[Age]],5,FALSE)</f>
        <v>28</v>
      </c>
      <c r="F345" s="10">
        <f>MAX(
  _xlfn.IFNA(_xlfn.XLOOKUP(B345,'C'!B:B,'C'!E:E),  -1000000000),
  _xlfn.IFNA(_xlfn.XLOOKUP(B345, LW!B:B, LW!E:E), -1000000000),
  _xlfn.IFNA(_xlfn.XLOOKUP(B345, RW!B:B, RW!E:E), -1000000000),
  _xlfn.IFNA(_xlfn.XLOOKUP(B345, D!B:B,  D!E:E),  -1000000000)
)</f>
        <v>-0.84145591009862031</v>
      </c>
    </row>
    <row r="346" spans="2:6" x14ac:dyDescent="0.25">
      <c r="B346" t="s">
        <v>712</v>
      </c>
      <c r="C346" s="17" t="str">
        <f>VLOOKUP(Table4[[#This Row],[Name]],Table1[[Player]:[Status]],4,FALSE)</f>
        <v>W &lt;small&gt;(Mon)&lt;/small&gt;</v>
      </c>
      <c r="D346" s="17" t="str">
        <f>VLOOKUP(Table4[[#This Row],[Name]],Table1[[Player]:[FP/G]],3,FALSE)</f>
        <v>C</v>
      </c>
      <c r="E346" s="17">
        <f>VLOOKUP(Table4[[#This Row],[Name]],Table1[[Player]:[Age]],5,FALSE)</f>
        <v>32</v>
      </c>
      <c r="F346" s="10">
        <f>MAX(
  _xlfn.IFNA(_xlfn.XLOOKUP(B346,'C'!B:B,'C'!E:E),  -1000000000),
  _xlfn.IFNA(_xlfn.XLOOKUP(B346, LW!B:B, LW!E:E), -1000000000),
  _xlfn.IFNA(_xlfn.XLOOKUP(B346, RW!B:B, RW!E:E), -1000000000),
  _xlfn.IFNA(_xlfn.XLOOKUP(B346, D!B:B,  D!E:E),  -1000000000)
)</f>
        <v>-0.84625138671274014</v>
      </c>
    </row>
    <row r="347" spans="2:6" x14ac:dyDescent="0.25">
      <c r="B347" t="s">
        <v>602</v>
      </c>
      <c r="C347" s="17" t="str">
        <f>VLOOKUP(Table4[[#This Row],[Name]],Table1[[Player]:[Status]],4,FALSE)</f>
        <v>W &lt;small&gt;(Mon)&lt;/small&gt;</v>
      </c>
      <c r="D347" s="17" t="str">
        <f>VLOOKUP(Table4[[#This Row],[Name]],Table1[[Player]:[FP/G]],3,FALSE)</f>
        <v>C</v>
      </c>
      <c r="E347" s="17">
        <f>VLOOKUP(Table4[[#This Row],[Name]],Table1[[Player]:[Age]],5,FALSE)</f>
        <v>37</v>
      </c>
      <c r="F347" s="10">
        <f>MAX(
  _xlfn.IFNA(_xlfn.XLOOKUP(B347,'C'!B:B,'C'!E:E),  -1000000000),
  _xlfn.IFNA(_xlfn.XLOOKUP(B347, LW!B:B, LW!E:E), -1000000000),
  _xlfn.IFNA(_xlfn.XLOOKUP(B347, RW!B:B, RW!E:E), -1000000000),
  _xlfn.IFNA(_xlfn.XLOOKUP(B347, D!B:B,  D!E:E),  -1000000000)
)</f>
        <v>-0.86351905566694009</v>
      </c>
    </row>
    <row r="348" spans="2:6" x14ac:dyDescent="0.25">
      <c r="B348" t="s">
        <v>450</v>
      </c>
      <c r="C348" s="17" t="str">
        <f>VLOOKUP(Table4[[#This Row],[Name]],Table1[[Player]:[Status]],4,FALSE)</f>
        <v>Sam</v>
      </c>
      <c r="D348" s="17" t="str">
        <f>VLOOKUP(Table4[[#This Row],[Name]],Table1[[Player]:[FP/G]],3,FALSE)</f>
        <v>C</v>
      </c>
      <c r="E348" s="17">
        <f>VLOOKUP(Table4[[#This Row],[Name]],Table1[[Player]:[Age]],5,FALSE)</f>
        <v>36</v>
      </c>
      <c r="F348" s="10">
        <f>MAX(
  _xlfn.IFNA(_xlfn.XLOOKUP(B348,'C'!B:B,'C'!E:E),  -1000000000),
  _xlfn.IFNA(_xlfn.XLOOKUP(B348, LW!B:B, LW!E:E), -1000000000),
  _xlfn.IFNA(_xlfn.XLOOKUP(B348, RW!B:B, RW!E:E), -1000000000),
  _xlfn.IFNA(_xlfn.XLOOKUP(B348, D!B:B,  D!E:E),  -1000000000)
)</f>
        <v>-0.8637312046311405</v>
      </c>
    </row>
    <row r="349" spans="2:6" x14ac:dyDescent="0.25">
      <c r="B349" t="s">
        <v>818</v>
      </c>
      <c r="C349" s="17" t="str">
        <f>VLOOKUP(Table4[[#This Row],[Name]],Table1[[Player]:[Status]],4,FALSE)</f>
        <v>W &lt;small&gt;(Mon)&lt;/small&gt;</v>
      </c>
      <c r="D349" s="17" t="str">
        <f>VLOOKUP(Table4[[#This Row],[Name]],Table1[[Player]:[FP/G]],3,FALSE)</f>
        <v>D</v>
      </c>
      <c r="E349" s="17">
        <f>VLOOKUP(Table4[[#This Row],[Name]],Table1[[Player]:[Age]],5,FALSE)</f>
        <v>27</v>
      </c>
      <c r="F349" s="10">
        <f>MAX(
  _xlfn.IFNA(_xlfn.XLOOKUP(B349,'C'!B:B,'C'!E:E),  -1000000000),
  _xlfn.IFNA(_xlfn.XLOOKUP(B349, LW!B:B, LW!E:E), -1000000000),
  _xlfn.IFNA(_xlfn.XLOOKUP(B349, RW!B:B, RW!E:E), -1000000000),
  _xlfn.IFNA(_xlfn.XLOOKUP(B349, D!B:B,  D!E:E),  -1000000000)
)</f>
        <v>-0.8672801939482504</v>
      </c>
    </row>
    <row r="350" spans="2:6" x14ac:dyDescent="0.25">
      <c r="B350" t="s">
        <v>780</v>
      </c>
      <c r="C350" s="17" t="str">
        <f>VLOOKUP(Table4[[#This Row],[Name]],Table1[[Player]:[Status]],4,FALSE)</f>
        <v>W &lt;small&gt;(Mon)&lt;/small&gt;</v>
      </c>
      <c r="D350" s="17" t="str">
        <f>VLOOKUP(Table4[[#This Row],[Name]],Table1[[Player]:[FP/G]],3,FALSE)</f>
        <v>D</v>
      </c>
      <c r="E350" s="17">
        <f>VLOOKUP(Table4[[#This Row],[Name]],Table1[[Player]:[Age]],5,FALSE)</f>
        <v>35</v>
      </c>
      <c r="F350" s="10">
        <f>MAX(
  _xlfn.IFNA(_xlfn.XLOOKUP(B350,'C'!B:B,'C'!E:E),  -1000000000),
  _xlfn.IFNA(_xlfn.XLOOKUP(B350, LW!B:B, LW!E:E), -1000000000),
  _xlfn.IFNA(_xlfn.XLOOKUP(B350, RW!B:B, RW!E:E), -1000000000),
  _xlfn.IFNA(_xlfn.XLOOKUP(B350, D!B:B,  D!E:E),  -1000000000)
)</f>
        <v>-0.87023658287538019</v>
      </c>
    </row>
    <row r="351" spans="2:6" x14ac:dyDescent="0.25">
      <c r="B351" t="s">
        <v>514</v>
      </c>
      <c r="C351" s="17" t="str">
        <f>VLOOKUP(Table4[[#This Row],[Name]],Table1[[Player]:[Status]],4,FALSE)</f>
        <v>W &lt;small&gt;(Mon)&lt;/small&gt;</v>
      </c>
      <c r="D351" s="17" t="str">
        <f>VLOOKUP(Table4[[#This Row],[Name]],Table1[[Player]:[FP/G]],3,FALSE)</f>
        <v>D</v>
      </c>
      <c r="E351" s="17">
        <f>VLOOKUP(Table4[[#This Row],[Name]],Table1[[Player]:[Age]],5,FALSE)</f>
        <v>26</v>
      </c>
      <c r="F351" s="10">
        <f>MAX(
  _xlfn.IFNA(_xlfn.XLOOKUP(B351,'C'!B:B,'C'!E:E),  -1000000000),
  _xlfn.IFNA(_xlfn.XLOOKUP(B351, LW!B:B, LW!E:E), -1000000000),
  _xlfn.IFNA(_xlfn.XLOOKUP(B351, RW!B:B, RW!E:E), -1000000000),
  _xlfn.IFNA(_xlfn.XLOOKUP(B351, D!B:B,  D!E:E),  -1000000000)
)</f>
        <v>-0.87209795811322</v>
      </c>
    </row>
    <row r="352" spans="2:6" x14ac:dyDescent="0.25">
      <c r="B352" t="s">
        <v>784</v>
      </c>
      <c r="C352" s="17" t="str">
        <f>VLOOKUP(Table4[[#This Row],[Name]],Table1[[Player]:[Status]],4,FALSE)</f>
        <v>Daniel</v>
      </c>
      <c r="D352" s="17" t="str">
        <f>VLOOKUP(Table4[[#This Row],[Name]],Table1[[Player]:[FP/G]],3,FALSE)</f>
        <v>C,LW</v>
      </c>
      <c r="E352" s="17">
        <f>VLOOKUP(Table4[[#This Row],[Name]],Table1[[Player]:[Age]],5,FALSE)</f>
        <v>29</v>
      </c>
      <c r="F352" s="10">
        <f>MAX(
  _xlfn.IFNA(_xlfn.XLOOKUP(B352,'C'!B:B,'C'!E:E),  -1000000000),
  _xlfn.IFNA(_xlfn.XLOOKUP(B352, LW!B:B, LW!E:E), -1000000000),
  _xlfn.IFNA(_xlfn.XLOOKUP(B352, RW!B:B, RW!E:E), -1000000000),
  _xlfn.IFNA(_xlfn.XLOOKUP(B352, D!B:B,  D!E:E),  -1000000000)
)</f>
        <v>-0.87510892089596037</v>
      </c>
    </row>
    <row r="353" spans="2:6" x14ac:dyDescent="0.25">
      <c r="B353" t="s">
        <v>958</v>
      </c>
      <c r="C353" s="17" t="str">
        <f>VLOOKUP(Table4[[#This Row],[Name]],Table1[[Player]:[Status]],4,FALSE)</f>
        <v>W &lt;small&gt;(Mon)&lt;/small&gt;</v>
      </c>
      <c r="D353" s="17" t="str">
        <f>VLOOKUP(Table4[[#This Row],[Name]],Table1[[Player]:[FP/G]],3,FALSE)</f>
        <v>D</v>
      </c>
      <c r="E353" s="17">
        <f>VLOOKUP(Table4[[#This Row],[Name]],Table1[[Player]:[Age]],5,FALSE)</f>
        <v>25</v>
      </c>
      <c r="F353" s="10">
        <f>MAX(
  _xlfn.IFNA(_xlfn.XLOOKUP(B353,'C'!B:B,'C'!E:E),  -1000000000),
  _xlfn.IFNA(_xlfn.XLOOKUP(B353, LW!B:B, LW!E:E), -1000000000),
  _xlfn.IFNA(_xlfn.XLOOKUP(B353, RW!B:B, RW!E:E), -1000000000),
  _xlfn.IFNA(_xlfn.XLOOKUP(B353, D!B:B,  D!E:E),  -1000000000)
)</f>
        <v>-0.87865541170199002</v>
      </c>
    </row>
    <row r="354" spans="2:6" x14ac:dyDescent="0.25">
      <c r="B354" t="s">
        <v>950</v>
      </c>
      <c r="C354" s="17" t="str">
        <f>VLOOKUP(Table4[[#This Row],[Name]],Table1[[Player]:[Status]],4,FALSE)</f>
        <v>Daniel</v>
      </c>
      <c r="D354" s="17" t="str">
        <f>VLOOKUP(Table4[[#This Row],[Name]],Table1[[Player]:[FP/G]],3,FALSE)</f>
        <v>LW,RW</v>
      </c>
      <c r="E354" s="17">
        <f>VLOOKUP(Table4[[#This Row],[Name]],Table1[[Player]:[Age]],5,FALSE)</f>
        <v>24</v>
      </c>
      <c r="F354" s="10">
        <f>MAX(
  _xlfn.IFNA(_xlfn.XLOOKUP(B354,'C'!B:B,'C'!E:E),  -1000000000),
  _xlfn.IFNA(_xlfn.XLOOKUP(B354, LW!B:B, LW!E:E), -1000000000),
  _xlfn.IFNA(_xlfn.XLOOKUP(B354, RW!B:B, RW!E:E), -1000000000),
  _xlfn.IFNA(_xlfn.XLOOKUP(B354, D!B:B,  D!E:E),  -1000000000)
)</f>
        <v>-0.88708992981931978</v>
      </c>
    </row>
    <row r="355" spans="2:6" x14ac:dyDescent="0.25">
      <c r="B355" t="s">
        <v>480</v>
      </c>
      <c r="C355" s="17" t="str">
        <f>VLOOKUP(Table4[[#This Row],[Name]],Table1[[Player]:[Status]],4,FALSE)</f>
        <v>W &lt;small&gt;(Mon)&lt;/small&gt;</v>
      </c>
      <c r="D355" s="17" t="str">
        <f>VLOOKUP(Table4[[#This Row],[Name]],Table1[[Player]:[FP/G]],3,FALSE)</f>
        <v>C,LW</v>
      </c>
      <c r="E355" s="17">
        <f>VLOOKUP(Table4[[#This Row],[Name]],Table1[[Player]:[Age]],5,FALSE)</f>
        <v>31</v>
      </c>
      <c r="F355" s="10">
        <f>MAX(
  _xlfn.IFNA(_xlfn.XLOOKUP(B355,'C'!B:B,'C'!E:E),  -1000000000),
  _xlfn.IFNA(_xlfn.XLOOKUP(B355, LW!B:B, LW!E:E), -1000000000),
  _xlfn.IFNA(_xlfn.XLOOKUP(B355, RW!B:B, RW!E:E), -1000000000),
  _xlfn.IFNA(_xlfn.XLOOKUP(B355, D!B:B,  D!E:E),  -1000000000)
)</f>
        <v>-0.89277312947119025</v>
      </c>
    </row>
    <row r="356" spans="2:6" x14ac:dyDescent="0.25">
      <c r="B356" t="s">
        <v>614</v>
      </c>
      <c r="C356" s="17" t="str">
        <f>VLOOKUP(Table4[[#This Row],[Name]],Table1[[Player]:[Status]],4,FALSE)</f>
        <v>W &lt;small&gt;(Mon)&lt;/small&gt;</v>
      </c>
      <c r="D356" s="17" t="str">
        <f>VLOOKUP(Table4[[#This Row],[Name]],Table1[[Player]:[FP/G]],3,FALSE)</f>
        <v>C</v>
      </c>
      <c r="E356" s="17">
        <f>VLOOKUP(Table4[[#This Row],[Name]],Table1[[Player]:[Age]],5,FALSE)</f>
        <v>30</v>
      </c>
      <c r="F356" s="10">
        <f>MAX(
  _xlfn.IFNA(_xlfn.XLOOKUP(B356,'C'!B:B,'C'!E:E),  -1000000000),
  _xlfn.IFNA(_xlfn.XLOOKUP(B356, LW!B:B, LW!E:E), -1000000000),
  _xlfn.IFNA(_xlfn.XLOOKUP(B356, RW!B:B, RW!E:E), -1000000000),
  _xlfn.IFNA(_xlfn.XLOOKUP(B356, D!B:B,  D!E:E),  -1000000000)
)</f>
        <v>-0.89411156026230021</v>
      </c>
    </row>
    <row r="357" spans="2:6" x14ac:dyDescent="0.25">
      <c r="B357" t="s">
        <v>1603</v>
      </c>
      <c r="C357" s="17" t="str">
        <f>VLOOKUP(Table4[[#This Row],[Name]],Table1[[Player]:[Status]],4,FALSE)</f>
        <v>W &lt;small&gt;(Mon)&lt;/small&gt;</v>
      </c>
      <c r="D357" s="17" t="str">
        <f>VLOOKUP(Table4[[#This Row],[Name]],Table1[[Player]:[FP/G]],3,FALSE)</f>
        <v>LW,RW</v>
      </c>
      <c r="E357" s="17">
        <f>VLOOKUP(Table4[[#This Row],[Name]],Table1[[Player]:[Age]],5,FALSE)</f>
        <v>27</v>
      </c>
      <c r="F357" s="10">
        <f>MAX(
  _xlfn.IFNA(_xlfn.XLOOKUP(B357,'C'!B:B,'C'!E:E),  -1000000000),
  _xlfn.IFNA(_xlfn.XLOOKUP(B357, LW!B:B, LW!E:E), -1000000000),
  _xlfn.IFNA(_xlfn.XLOOKUP(B357, RW!B:B, RW!E:E), -1000000000),
  _xlfn.IFNA(_xlfn.XLOOKUP(B357, D!B:B,  D!E:E),  -1000000000)
)</f>
        <v>-0.90084873572924007</v>
      </c>
    </row>
    <row r="358" spans="2:6" x14ac:dyDescent="0.25">
      <c r="B358" t="s">
        <v>554</v>
      </c>
      <c r="C358" s="17" t="str">
        <f>VLOOKUP(Table4[[#This Row],[Name]],Table1[[Player]:[Status]],4,FALSE)</f>
        <v>W &lt;small&gt;(Mon)&lt;/small&gt;</v>
      </c>
      <c r="D358" s="17" t="str">
        <f>VLOOKUP(Table4[[#This Row],[Name]],Table1[[Player]:[FP/G]],3,FALSE)</f>
        <v>C,RW</v>
      </c>
      <c r="E358" s="17">
        <f>VLOOKUP(Table4[[#This Row],[Name]],Table1[[Player]:[Age]],5,FALSE)</f>
        <v>32</v>
      </c>
      <c r="F358" s="10">
        <f>MAX(
  _xlfn.IFNA(_xlfn.XLOOKUP(B358,'C'!B:B,'C'!E:E),  -1000000000),
  _xlfn.IFNA(_xlfn.XLOOKUP(B358, LW!B:B, LW!E:E), -1000000000),
  _xlfn.IFNA(_xlfn.XLOOKUP(B358, RW!B:B, RW!E:E), -1000000000),
  _xlfn.IFNA(_xlfn.XLOOKUP(B358, D!B:B,  D!E:E),  -1000000000)
)</f>
        <v>-0.90386821258575045</v>
      </c>
    </row>
    <row r="359" spans="2:6" x14ac:dyDescent="0.25">
      <c r="B359" t="s">
        <v>746</v>
      </c>
      <c r="C359" s="17" t="str">
        <f>VLOOKUP(Table4[[#This Row],[Name]],Table1[[Player]:[Status]],4,FALSE)</f>
        <v>Abby</v>
      </c>
      <c r="D359" s="17" t="str">
        <f>VLOOKUP(Table4[[#This Row],[Name]],Table1[[Player]:[FP/G]],3,FALSE)</f>
        <v>LW,RW</v>
      </c>
      <c r="E359" s="17">
        <f>VLOOKUP(Table4[[#This Row],[Name]],Table1[[Player]:[Age]],5,FALSE)</f>
        <v>30</v>
      </c>
      <c r="F359" s="10">
        <f>MAX(
  _xlfn.IFNA(_xlfn.XLOOKUP(B359,'C'!B:B,'C'!E:E),  -1000000000),
  _xlfn.IFNA(_xlfn.XLOOKUP(B359, LW!B:B, LW!E:E), -1000000000),
  _xlfn.IFNA(_xlfn.XLOOKUP(B359, RW!B:B, RW!E:E), -1000000000),
  _xlfn.IFNA(_xlfn.XLOOKUP(B359, D!B:B,  D!E:E),  -1000000000)
)</f>
        <v>-0.90824734147294972</v>
      </c>
    </row>
    <row r="360" spans="2:6" x14ac:dyDescent="0.25">
      <c r="B360" t="s">
        <v>860</v>
      </c>
      <c r="C360" s="17" t="str">
        <f>VLOOKUP(Table4[[#This Row],[Name]],Table1[[Player]:[Status]],4,FALSE)</f>
        <v>W &lt;small&gt;(Mon)&lt;/small&gt;</v>
      </c>
      <c r="D360" s="17" t="str">
        <f>VLOOKUP(Table4[[#This Row],[Name]],Table1[[Player]:[FP/G]],3,FALSE)</f>
        <v>C,LW</v>
      </c>
      <c r="E360" s="17">
        <f>VLOOKUP(Table4[[#This Row],[Name]],Table1[[Player]:[Age]],5,FALSE)</f>
        <v>25</v>
      </c>
      <c r="F360" s="10">
        <f>MAX(
  _xlfn.IFNA(_xlfn.XLOOKUP(B360,'C'!B:B,'C'!E:E),  -1000000000),
  _xlfn.IFNA(_xlfn.XLOOKUP(B360, LW!B:B, LW!E:E), -1000000000),
  _xlfn.IFNA(_xlfn.XLOOKUP(B360, RW!B:B, RW!E:E), -1000000000),
  _xlfn.IFNA(_xlfn.XLOOKUP(B360, D!B:B,  D!E:E),  -1000000000)
)</f>
        <v>-0.91041564094377048</v>
      </c>
    </row>
    <row r="361" spans="2:6" x14ac:dyDescent="0.25">
      <c r="B361" t="s">
        <v>1010</v>
      </c>
      <c r="C361" s="17" t="str">
        <f>VLOOKUP(Table4[[#This Row],[Name]],Table1[[Player]:[Status]],4,FALSE)</f>
        <v>W &lt;small&gt;(Mon)&lt;/small&gt;</v>
      </c>
      <c r="D361" s="17" t="str">
        <f>VLOOKUP(Table4[[#This Row],[Name]],Table1[[Player]:[FP/G]],3,FALSE)</f>
        <v>D</v>
      </c>
      <c r="E361" s="17">
        <f>VLOOKUP(Table4[[#This Row],[Name]],Table1[[Player]:[Age]],5,FALSE)</f>
        <v>35</v>
      </c>
      <c r="F361" s="10">
        <f>MAX(
  _xlfn.IFNA(_xlfn.XLOOKUP(B361,'C'!B:B,'C'!E:E),  -1000000000),
  _xlfn.IFNA(_xlfn.XLOOKUP(B361, LW!B:B, LW!E:E), -1000000000),
  _xlfn.IFNA(_xlfn.XLOOKUP(B361, RW!B:B, RW!E:E), -1000000000),
  _xlfn.IFNA(_xlfn.XLOOKUP(B361, D!B:B,  D!E:E),  -1000000000)
)</f>
        <v>-0.92472023122333002</v>
      </c>
    </row>
    <row r="362" spans="2:6" x14ac:dyDescent="0.25">
      <c r="B362" t="s">
        <v>390</v>
      </c>
      <c r="C362" s="17" t="str">
        <f>VLOOKUP(Table4[[#This Row],[Name]],Table1[[Player]:[Status]],4,FALSE)</f>
        <v>W &lt;small&gt;(Mon)&lt;/small&gt;</v>
      </c>
      <c r="D362" s="17" t="str">
        <f>VLOOKUP(Table4[[#This Row],[Name]],Table1[[Player]:[FP/G]],3,FALSE)</f>
        <v>C,RW</v>
      </c>
      <c r="E362" s="17">
        <f>VLOOKUP(Table4[[#This Row],[Name]],Table1[[Player]:[Age]],5,FALSE)</f>
        <v>24</v>
      </c>
      <c r="F362" s="10">
        <f>MAX(
  _xlfn.IFNA(_xlfn.XLOOKUP(B362,'C'!B:B,'C'!E:E),  -1000000000),
  _xlfn.IFNA(_xlfn.XLOOKUP(B362, LW!B:B, LW!E:E), -1000000000),
  _xlfn.IFNA(_xlfn.XLOOKUP(B362, RW!B:B, RW!E:E), -1000000000),
  _xlfn.IFNA(_xlfn.XLOOKUP(B362, D!B:B,  D!E:E),  -1000000000)
)</f>
        <v>-0.92866779164715041</v>
      </c>
    </row>
    <row r="363" spans="2:6" x14ac:dyDescent="0.25">
      <c r="B363" t="s">
        <v>856</v>
      </c>
      <c r="C363" s="17" t="str">
        <f>VLOOKUP(Table4[[#This Row],[Name]],Table1[[Player]:[Status]],4,FALSE)</f>
        <v>W &lt;small&gt;(Mon)&lt;/small&gt;</v>
      </c>
      <c r="D363" s="17" t="str">
        <f>VLOOKUP(Table4[[#This Row],[Name]],Table1[[Player]:[FP/G]],3,FALSE)</f>
        <v>D</v>
      </c>
      <c r="E363" s="17">
        <f>VLOOKUP(Table4[[#This Row],[Name]],Table1[[Player]:[Age]],5,FALSE)</f>
        <v>27</v>
      </c>
      <c r="F363" s="10">
        <f>MAX(
  _xlfn.IFNA(_xlfn.XLOOKUP(B363,'C'!B:B,'C'!E:E),  -1000000000),
  _xlfn.IFNA(_xlfn.XLOOKUP(B363, LW!B:B, LW!E:E), -1000000000),
  _xlfn.IFNA(_xlfn.XLOOKUP(B363, RW!B:B, RW!E:E), -1000000000),
  _xlfn.IFNA(_xlfn.XLOOKUP(B363, D!B:B,  D!E:E),  -1000000000)
)</f>
        <v>-0.93836608066886029</v>
      </c>
    </row>
    <row r="364" spans="2:6" x14ac:dyDescent="0.25">
      <c r="B364" t="s">
        <v>368</v>
      </c>
      <c r="C364" s="17" t="str">
        <f>VLOOKUP(Table4[[#This Row],[Name]],Table1[[Player]:[Status]],4,FALSE)</f>
        <v>W &lt;small&gt;(Mon)&lt;/small&gt;</v>
      </c>
      <c r="D364" s="17" t="str">
        <f>VLOOKUP(Table4[[#This Row],[Name]],Table1[[Player]:[FP/G]],3,FALSE)</f>
        <v>LW</v>
      </c>
      <c r="E364" s="17">
        <f>VLOOKUP(Table4[[#This Row],[Name]],Table1[[Player]:[Age]],5,FALSE)</f>
        <v>25</v>
      </c>
      <c r="F364" s="10">
        <f>MAX(
  _xlfn.IFNA(_xlfn.XLOOKUP(B364,'C'!B:B,'C'!E:E),  -1000000000),
  _xlfn.IFNA(_xlfn.XLOOKUP(B364, LW!B:B, LW!E:E), -1000000000),
  _xlfn.IFNA(_xlfn.XLOOKUP(B364, RW!B:B, RW!E:E), -1000000000),
  _xlfn.IFNA(_xlfn.XLOOKUP(B364, D!B:B,  D!E:E),  -1000000000)
)</f>
        <v>-0.94658067061383999</v>
      </c>
    </row>
    <row r="365" spans="2:6" x14ac:dyDescent="0.25">
      <c r="B365" t="s">
        <v>734</v>
      </c>
      <c r="C365" s="17" t="str">
        <f>VLOOKUP(Table4[[#This Row],[Name]],Table1[[Player]:[Status]],4,FALSE)</f>
        <v>W &lt;small&gt;(Mon)&lt;/small&gt;</v>
      </c>
      <c r="D365" s="17" t="str">
        <f>VLOOKUP(Table4[[#This Row],[Name]],Table1[[Player]:[FP/G]],3,FALSE)</f>
        <v>C</v>
      </c>
      <c r="E365" s="17">
        <f>VLOOKUP(Table4[[#This Row],[Name]],Table1[[Player]:[Age]],5,FALSE)</f>
        <v>30</v>
      </c>
      <c r="F365" s="10">
        <f>MAX(
  _xlfn.IFNA(_xlfn.XLOOKUP(B365,'C'!B:B,'C'!E:E),  -1000000000),
  _xlfn.IFNA(_xlfn.XLOOKUP(B365, LW!B:B, LW!E:E), -1000000000),
  _xlfn.IFNA(_xlfn.XLOOKUP(B365, RW!B:B, RW!E:E), -1000000000),
  _xlfn.IFNA(_xlfn.XLOOKUP(B365, D!B:B,  D!E:E),  -1000000000)
)</f>
        <v>-0.95867742019728031</v>
      </c>
    </row>
    <row r="366" spans="2:6" x14ac:dyDescent="0.25">
      <c r="B366" t="s">
        <v>1590</v>
      </c>
      <c r="C366" s="17" t="str">
        <f>VLOOKUP(Table4[[#This Row],[Name]],Table1[[Player]:[Status]],4,FALSE)</f>
        <v>Abby</v>
      </c>
      <c r="D366" s="17" t="str">
        <f>VLOOKUP(Table4[[#This Row],[Name]],Table1[[Player]:[FP/G]],3,FALSE)</f>
        <v>LW</v>
      </c>
      <c r="E366" s="17">
        <f>VLOOKUP(Table4[[#This Row],[Name]],Table1[[Player]:[Age]],5,FALSE)</f>
        <v>29</v>
      </c>
      <c r="F366" s="10">
        <f>MAX(
  _xlfn.IFNA(_xlfn.XLOOKUP(B366,'C'!B:B,'C'!E:E),  -1000000000),
  _xlfn.IFNA(_xlfn.XLOOKUP(B366, LW!B:B, LW!E:E), -1000000000),
  _xlfn.IFNA(_xlfn.XLOOKUP(B366, RW!B:B, RW!E:E), -1000000000),
  _xlfn.IFNA(_xlfn.XLOOKUP(B366, D!B:B,  D!E:E),  -1000000000)
)</f>
        <v>-0.96409542445166974</v>
      </c>
    </row>
    <row r="367" spans="2:6" x14ac:dyDescent="0.25">
      <c r="B367" t="s">
        <v>706</v>
      </c>
      <c r="C367" s="17" t="str">
        <f>VLOOKUP(Table4[[#This Row],[Name]],Table1[[Player]:[Status]],4,FALSE)</f>
        <v>W &lt;small&gt;(Mon)&lt;/small&gt;</v>
      </c>
      <c r="D367" s="17" t="str">
        <f>VLOOKUP(Table4[[#This Row],[Name]],Table1[[Player]:[FP/G]],3,FALSE)</f>
        <v>C</v>
      </c>
      <c r="E367" s="17">
        <f>VLOOKUP(Table4[[#This Row],[Name]],Table1[[Player]:[Age]],5,FALSE)</f>
        <v>25</v>
      </c>
      <c r="F367" s="10">
        <f>MAX(
  _xlfn.IFNA(_xlfn.XLOOKUP(B367,'C'!B:B,'C'!E:E),  -1000000000),
  _xlfn.IFNA(_xlfn.XLOOKUP(B367, LW!B:B, LW!E:E), -1000000000),
  _xlfn.IFNA(_xlfn.XLOOKUP(B367, RW!B:B, RW!E:E), -1000000000),
  _xlfn.IFNA(_xlfn.XLOOKUP(B367, D!B:B,  D!E:E),  -1000000000)
)</f>
        <v>-0.97002912148491038</v>
      </c>
    </row>
    <row r="368" spans="2:6" x14ac:dyDescent="0.25">
      <c r="B368" t="s">
        <v>1623</v>
      </c>
      <c r="C368" s="17" t="str">
        <f>VLOOKUP(Table4[[#This Row],[Name]],Table1[[Player]:[Status]],4,FALSE)</f>
        <v>W &lt;small&gt;(Mon)&lt;/small&gt;</v>
      </c>
      <c r="D368" s="17" t="str">
        <f>VLOOKUP(Table4[[#This Row],[Name]],Table1[[Player]:[FP/G]],3,FALSE)</f>
        <v>D</v>
      </c>
      <c r="E368" s="17">
        <f>VLOOKUP(Table4[[#This Row],[Name]],Table1[[Player]:[Age]],5,FALSE)</f>
        <v>29</v>
      </c>
      <c r="F368" s="10">
        <f>MAX(
  _xlfn.IFNA(_xlfn.XLOOKUP(B368,'C'!B:B,'C'!E:E),  -1000000000),
  _xlfn.IFNA(_xlfn.XLOOKUP(B368, LW!B:B, LW!E:E), -1000000000),
  _xlfn.IFNA(_xlfn.XLOOKUP(B368, RW!B:B, RW!E:E), -1000000000),
  _xlfn.IFNA(_xlfn.XLOOKUP(B368, D!B:B,  D!E:E),  -1000000000)
)</f>
        <v>-0.97210262428429006</v>
      </c>
    </row>
    <row r="369" spans="2:6" x14ac:dyDescent="0.25">
      <c r="B369" t="s">
        <v>802</v>
      </c>
      <c r="C369" s="17" t="str">
        <f>VLOOKUP(Table4[[#This Row],[Name]],Table1[[Player]:[Status]],4,FALSE)</f>
        <v>W &lt;small&gt;(Mon)&lt;/small&gt;</v>
      </c>
      <c r="D369" s="17" t="str">
        <f>VLOOKUP(Table4[[#This Row],[Name]],Table1[[Player]:[FP/G]],3,FALSE)</f>
        <v>D</v>
      </c>
      <c r="E369" s="17">
        <f>VLOOKUP(Table4[[#This Row],[Name]],Table1[[Player]:[Age]],5,FALSE)</f>
        <v>24</v>
      </c>
      <c r="F369" s="10">
        <f>MAX(
  _xlfn.IFNA(_xlfn.XLOOKUP(B369,'C'!B:B,'C'!E:E),  -1000000000),
  _xlfn.IFNA(_xlfn.XLOOKUP(B369, LW!B:B, LW!E:E), -1000000000),
  _xlfn.IFNA(_xlfn.XLOOKUP(B369, RW!B:B, RW!E:E), -1000000000),
  _xlfn.IFNA(_xlfn.XLOOKUP(B369, D!B:B,  D!E:E),  -1000000000)
)</f>
        <v>-0.97463798907912036</v>
      </c>
    </row>
    <row r="370" spans="2:6" x14ac:dyDescent="0.25">
      <c r="B370" t="s">
        <v>910</v>
      </c>
      <c r="C370" s="17" t="str">
        <f>VLOOKUP(Table4[[#This Row],[Name]],Table1[[Player]:[Status]],4,FALSE)</f>
        <v>W &lt;small&gt;(Mon)&lt;/small&gt;</v>
      </c>
      <c r="D370" s="17" t="str">
        <f>VLOOKUP(Table4[[#This Row],[Name]],Table1[[Player]:[FP/G]],3,FALSE)</f>
        <v>D</v>
      </c>
      <c r="E370" s="17">
        <f>VLOOKUP(Table4[[#This Row],[Name]],Table1[[Player]:[Age]],5,FALSE)</f>
        <v>26</v>
      </c>
      <c r="F370" s="10">
        <f>MAX(
  _xlfn.IFNA(_xlfn.XLOOKUP(B370,'C'!B:B,'C'!E:E),  -1000000000),
  _xlfn.IFNA(_xlfn.XLOOKUP(B370, LW!B:B, LW!E:E), -1000000000),
  _xlfn.IFNA(_xlfn.XLOOKUP(B370, RW!B:B, RW!E:E), -1000000000),
  _xlfn.IFNA(_xlfn.XLOOKUP(B370, D!B:B,  D!E:E),  -1000000000)
)</f>
        <v>-0.98028030801060018</v>
      </c>
    </row>
    <row r="371" spans="2:6" x14ac:dyDescent="0.25">
      <c r="B371" t="s">
        <v>342</v>
      </c>
      <c r="C371" s="17" t="str">
        <f>VLOOKUP(Table4[[#This Row],[Name]],Table1[[Player]:[Status]],4,FALSE)</f>
        <v>Sam</v>
      </c>
      <c r="D371" s="17" t="str">
        <f>VLOOKUP(Table4[[#This Row],[Name]],Table1[[Player]:[FP/G]],3,FALSE)</f>
        <v>C,LW</v>
      </c>
      <c r="E371" s="17">
        <f>VLOOKUP(Table4[[#This Row],[Name]],Table1[[Player]:[Age]],5,FALSE)</f>
        <v>24</v>
      </c>
      <c r="F371" s="10">
        <f>MAX(
  _xlfn.IFNA(_xlfn.XLOOKUP(B371,'C'!B:B,'C'!E:E),  -1000000000),
  _xlfn.IFNA(_xlfn.XLOOKUP(B371, LW!B:B, LW!E:E), -1000000000),
  _xlfn.IFNA(_xlfn.XLOOKUP(B371, RW!B:B, RW!E:E), -1000000000),
  _xlfn.IFNA(_xlfn.XLOOKUP(B371, D!B:B,  D!E:E),  -1000000000)
)</f>
        <v>-0.98191666678049039</v>
      </c>
    </row>
    <row r="372" spans="2:6" x14ac:dyDescent="0.25">
      <c r="B372" t="s">
        <v>934</v>
      </c>
      <c r="C372" s="17" t="str">
        <f>VLOOKUP(Table4[[#This Row],[Name]],Table1[[Player]:[Status]],4,FALSE)</f>
        <v>W &lt;small&gt;(Mon)&lt;/small&gt;</v>
      </c>
      <c r="D372" s="17" t="str">
        <f>VLOOKUP(Table4[[#This Row],[Name]],Table1[[Player]:[FP/G]],3,FALSE)</f>
        <v>D</v>
      </c>
      <c r="E372" s="17">
        <f>VLOOKUP(Table4[[#This Row],[Name]],Table1[[Player]:[Age]],5,FALSE)</f>
        <v>26</v>
      </c>
      <c r="F372" s="10">
        <f>MAX(
  _xlfn.IFNA(_xlfn.XLOOKUP(B372,'C'!B:B,'C'!E:E),  -1000000000),
  _xlfn.IFNA(_xlfn.XLOOKUP(B372, LW!B:B, LW!E:E), -1000000000),
  _xlfn.IFNA(_xlfn.XLOOKUP(B372, RW!B:B, RW!E:E), -1000000000),
  _xlfn.IFNA(_xlfn.XLOOKUP(B372, D!B:B,  D!E:E),  -1000000000)
)</f>
        <v>-0.98440857320469011</v>
      </c>
    </row>
    <row r="373" spans="2:6" x14ac:dyDescent="0.25">
      <c r="B373" t="s">
        <v>700</v>
      </c>
      <c r="C373" s="17" t="str">
        <f>VLOOKUP(Table4[[#This Row],[Name]],Table1[[Player]:[Status]],4,FALSE)</f>
        <v>W &lt;small&gt;(Mon)&lt;/small&gt;</v>
      </c>
      <c r="D373" s="17" t="str">
        <f>VLOOKUP(Table4[[#This Row],[Name]],Table1[[Player]:[FP/G]],3,FALSE)</f>
        <v>LW</v>
      </c>
      <c r="E373" s="17">
        <f>VLOOKUP(Table4[[#This Row],[Name]],Table1[[Player]:[Age]],5,FALSE)</f>
        <v>32</v>
      </c>
      <c r="F373" s="10">
        <f>MAX(
  _xlfn.IFNA(_xlfn.XLOOKUP(B373,'C'!B:B,'C'!E:E),  -1000000000),
  _xlfn.IFNA(_xlfn.XLOOKUP(B373, LW!B:B, LW!E:E), -1000000000),
  _xlfn.IFNA(_xlfn.XLOOKUP(B373, RW!B:B, RW!E:E), -1000000000),
  _xlfn.IFNA(_xlfn.XLOOKUP(B373, D!B:B,  D!E:E),  -1000000000)
)</f>
        <v>-0.9859489220371298</v>
      </c>
    </row>
    <row r="374" spans="2:6" x14ac:dyDescent="0.25">
      <c r="B374" t="s">
        <v>1615</v>
      </c>
      <c r="C374" s="17" t="str">
        <f>VLOOKUP(Table4[[#This Row],[Name]],Table1[[Player]:[Status]],4,FALSE)</f>
        <v>W &lt;small&gt;(Mon)&lt;/small&gt;</v>
      </c>
      <c r="D374" s="17" t="str">
        <f>VLOOKUP(Table4[[#This Row],[Name]],Table1[[Player]:[FP/G]],3,FALSE)</f>
        <v>D</v>
      </c>
      <c r="E374" s="17">
        <f>VLOOKUP(Table4[[#This Row],[Name]],Table1[[Player]:[Age]],5,FALSE)</f>
        <v>23</v>
      </c>
      <c r="F374" s="10">
        <f>MAX(
  _xlfn.IFNA(_xlfn.XLOOKUP(B374,'C'!B:B,'C'!E:E),  -1000000000),
  _xlfn.IFNA(_xlfn.XLOOKUP(B374, LW!B:B, LW!E:E), -1000000000),
  _xlfn.IFNA(_xlfn.XLOOKUP(B374, RW!B:B, RW!E:E), -1000000000),
  _xlfn.IFNA(_xlfn.XLOOKUP(B374, D!B:B,  D!E:E),  -1000000000)
)</f>
        <v>-0.98624784884947037</v>
      </c>
    </row>
    <row r="375" spans="2:6" x14ac:dyDescent="0.25">
      <c r="B375" t="s">
        <v>568</v>
      </c>
      <c r="C375" s="17" t="str">
        <f>VLOOKUP(Table4[[#This Row],[Name]],Table1[[Player]:[Status]],4,FALSE)</f>
        <v>W &lt;small&gt;(Mon)&lt;/small&gt;</v>
      </c>
      <c r="D375" s="17" t="str">
        <f>VLOOKUP(Table4[[#This Row],[Name]],Table1[[Player]:[FP/G]],3,FALSE)</f>
        <v>LW,RW</v>
      </c>
      <c r="E375" s="17">
        <f>VLOOKUP(Table4[[#This Row],[Name]],Table1[[Player]:[Age]],5,FALSE)</f>
        <v>36</v>
      </c>
      <c r="F375" s="10">
        <f>MAX(
  _xlfn.IFNA(_xlfn.XLOOKUP(B375,'C'!B:B,'C'!E:E),  -1000000000),
  _xlfn.IFNA(_xlfn.XLOOKUP(B375, LW!B:B, LW!E:E), -1000000000),
  _xlfn.IFNA(_xlfn.XLOOKUP(B375, RW!B:B, RW!E:E), -1000000000),
  _xlfn.IFNA(_xlfn.XLOOKUP(B375, D!B:B,  D!E:E),  -1000000000)
)</f>
        <v>-0.99546705881421005</v>
      </c>
    </row>
    <row r="376" spans="2:6" x14ac:dyDescent="0.25">
      <c r="B376" t="s">
        <v>1587</v>
      </c>
      <c r="C376" s="17" t="str">
        <f>VLOOKUP(Table4[[#This Row],[Name]],Table1[[Player]:[Status]],4,FALSE)</f>
        <v>Sam</v>
      </c>
      <c r="D376" s="17" t="str">
        <f>VLOOKUP(Table4[[#This Row],[Name]],Table1[[Player]:[FP/G]],3,FALSE)</f>
        <v>RW</v>
      </c>
      <c r="E376" s="17">
        <f>VLOOKUP(Table4[[#This Row],[Name]],Table1[[Player]:[Age]],5,FALSE)</f>
        <v>22</v>
      </c>
      <c r="F376" s="10">
        <f>MAX(
  _xlfn.IFNA(_xlfn.XLOOKUP(B376,'C'!B:B,'C'!E:E),  -1000000000),
  _xlfn.IFNA(_xlfn.XLOOKUP(B376, LW!B:B, LW!E:E), -1000000000),
  _xlfn.IFNA(_xlfn.XLOOKUP(B376, RW!B:B, RW!E:E), -1000000000),
  _xlfn.IFNA(_xlfn.XLOOKUP(B376, D!B:B,  D!E:E),  -1000000000)
)</f>
        <v>-0.99602441140367981</v>
      </c>
    </row>
    <row r="377" spans="2:6" x14ac:dyDescent="0.25">
      <c r="B377" t="s">
        <v>690</v>
      </c>
      <c r="C377" s="17" t="str">
        <f>VLOOKUP(Table4[[#This Row],[Name]],Table1[[Player]:[Status]],4,FALSE)</f>
        <v>W &lt;small&gt;(Mon)&lt;/small&gt;</v>
      </c>
      <c r="D377" s="17" t="str">
        <f>VLOOKUP(Table4[[#This Row],[Name]],Table1[[Player]:[FP/G]],3,FALSE)</f>
        <v>D</v>
      </c>
      <c r="E377" s="17">
        <f>VLOOKUP(Table4[[#This Row],[Name]],Table1[[Player]:[Age]],5,FALSE)</f>
        <v>28</v>
      </c>
      <c r="F377" s="10">
        <f>MAX(
  _xlfn.IFNA(_xlfn.XLOOKUP(B377,'C'!B:B,'C'!E:E),  -1000000000),
  _xlfn.IFNA(_xlfn.XLOOKUP(B377, LW!B:B, LW!E:E), -1000000000),
  _xlfn.IFNA(_xlfn.XLOOKUP(B377, RW!B:B, RW!E:E), -1000000000),
  _xlfn.IFNA(_xlfn.XLOOKUP(B377, D!B:B,  D!E:E),  -1000000000)
)</f>
        <v>-1.0014321775291304</v>
      </c>
    </row>
    <row r="378" spans="2:6" x14ac:dyDescent="0.25">
      <c r="B378" t="s">
        <v>620</v>
      </c>
      <c r="C378" s="17" t="str">
        <f>VLOOKUP(Table4[[#This Row],[Name]],Table1[[Player]:[Status]],4,FALSE)</f>
        <v>W &lt;small&gt;(Mon)&lt;/small&gt;</v>
      </c>
      <c r="D378" s="17" t="str">
        <f>VLOOKUP(Table4[[#This Row],[Name]],Table1[[Player]:[FP/G]],3,FALSE)</f>
        <v>RW</v>
      </c>
      <c r="E378" s="17">
        <f>VLOOKUP(Table4[[#This Row],[Name]],Table1[[Player]:[Age]],5,FALSE)</f>
        <v>35</v>
      </c>
      <c r="F378" s="10">
        <f>MAX(
  _xlfn.IFNA(_xlfn.XLOOKUP(B378,'C'!B:B,'C'!E:E),  -1000000000),
  _xlfn.IFNA(_xlfn.XLOOKUP(B378, LW!B:B, LW!E:E), -1000000000),
  _xlfn.IFNA(_xlfn.XLOOKUP(B378, RW!B:B, RW!E:E), -1000000000),
  _xlfn.IFNA(_xlfn.XLOOKUP(B378, D!B:B,  D!E:E),  -1000000000)
)</f>
        <v>-1.0046151982942799</v>
      </c>
    </row>
    <row r="379" spans="2:6" x14ac:dyDescent="0.25">
      <c r="B379" t="s">
        <v>1618</v>
      </c>
      <c r="C379" s="17" t="str">
        <f>VLOOKUP(Table4[[#This Row],[Name]],Table1[[Player]:[Status]],4,FALSE)</f>
        <v>W &lt;small&gt;(Mon)&lt;/small&gt;</v>
      </c>
      <c r="D379" s="17" t="str">
        <f>VLOOKUP(Table4[[#This Row],[Name]],Table1[[Player]:[FP/G]],3,FALSE)</f>
        <v>D</v>
      </c>
      <c r="E379" s="17">
        <f>VLOOKUP(Table4[[#This Row],[Name]],Table1[[Player]:[Age]],5,FALSE)</f>
        <v>24</v>
      </c>
      <c r="F379" s="10">
        <f>MAX(
  _xlfn.IFNA(_xlfn.XLOOKUP(B379,'C'!B:B,'C'!E:E),  -1000000000),
  _xlfn.IFNA(_xlfn.XLOOKUP(B379, LW!B:B, LW!E:E), -1000000000),
  _xlfn.IFNA(_xlfn.XLOOKUP(B379, RW!B:B, RW!E:E), -1000000000),
  _xlfn.IFNA(_xlfn.XLOOKUP(B379, D!B:B,  D!E:E),  -1000000000)
)</f>
        <v>-1.0054089884895401</v>
      </c>
    </row>
    <row r="380" spans="2:6" x14ac:dyDescent="0.25">
      <c r="B380" t="s">
        <v>624</v>
      </c>
      <c r="C380" s="17" t="str">
        <f>VLOOKUP(Table4[[#This Row],[Name]],Table1[[Player]:[Status]],4,FALSE)</f>
        <v>Seth</v>
      </c>
      <c r="D380" s="17" t="str">
        <f>VLOOKUP(Table4[[#This Row],[Name]],Table1[[Player]:[FP/G]],3,FALSE)</f>
        <v>C</v>
      </c>
      <c r="E380" s="17">
        <f>VLOOKUP(Table4[[#This Row],[Name]],Table1[[Player]:[Age]],5,FALSE)</f>
        <v>26</v>
      </c>
      <c r="F380" s="10">
        <f>MAX(
  _xlfn.IFNA(_xlfn.XLOOKUP(B380,'C'!B:B,'C'!E:E),  -1000000000),
  _xlfn.IFNA(_xlfn.XLOOKUP(B380, LW!B:B, LW!E:E), -1000000000),
  _xlfn.IFNA(_xlfn.XLOOKUP(B380, RW!B:B, RW!E:E), -1000000000),
  _xlfn.IFNA(_xlfn.XLOOKUP(B380, D!B:B,  D!E:E),  -1000000000)
)</f>
        <v>-1.0066101341564502</v>
      </c>
    </row>
    <row r="381" spans="2:6" x14ac:dyDescent="0.25">
      <c r="B381" t="s">
        <v>944</v>
      </c>
      <c r="C381" s="17" t="str">
        <f>VLOOKUP(Table4[[#This Row],[Name]],Table1[[Player]:[Status]],4,FALSE)</f>
        <v>W &lt;small&gt;(Mon)&lt;/small&gt;</v>
      </c>
      <c r="D381" s="17" t="str">
        <f>VLOOKUP(Table4[[#This Row],[Name]],Table1[[Player]:[FP/G]],3,FALSE)</f>
        <v>D</v>
      </c>
      <c r="E381" s="17">
        <f>VLOOKUP(Table4[[#This Row],[Name]],Table1[[Player]:[Age]],5,FALSE)</f>
        <v>25</v>
      </c>
      <c r="F381" s="10">
        <f>MAX(
  _xlfn.IFNA(_xlfn.XLOOKUP(B381,'C'!B:B,'C'!E:E),  -1000000000),
  _xlfn.IFNA(_xlfn.XLOOKUP(B381, LW!B:B, LW!E:E), -1000000000),
  _xlfn.IFNA(_xlfn.XLOOKUP(B381, RW!B:B, RW!E:E), -1000000000),
  _xlfn.IFNA(_xlfn.XLOOKUP(B381, D!B:B,  D!E:E),  -1000000000)
)</f>
        <v>-1.0074615708531902</v>
      </c>
    </row>
    <row r="382" spans="2:6" x14ac:dyDescent="0.25">
      <c r="B382" t="s">
        <v>1611</v>
      </c>
      <c r="C382" s="17" t="str">
        <f>VLOOKUP(Table4[[#This Row],[Name]],Table1[[Player]:[Status]],4,FALSE)</f>
        <v>W &lt;small&gt;(Mon)&lt;/small&gt;</v>
      </c>
      <c r="D382" s="17" t="str">
        <f>VLOOKUP(Table4[[#This Row],[Name]],Table1[[Player]:[FP/G]],3,FALSE)</f>
        <v>D</v>
      </c>
      <c r="E382" s="17">
        <f>VLOOKUP(Table4[[#This Row],[Name]],Table1[[Player]:[Age]],5,FALSE)</f>
        <v>23</v>
      </c>
      <c r="F382" s="10">
        <f>MAX(
  _xlfn.IFNA(_xlfn.XLOOKUP(B382,'C'!B:B,'C'!E:E),  -1000000000),
  _xlfn.IFNA(_xlfn.XLOOKUP(B382, LW!B:B, LW!E:E), -1000000000),
  _xlfn.IFNA(_xlfn.XLOOKUP(B382, RW!B:B, RW!E:E), -1000000000),
  _xlfn.IFNA(_xlfn.XLOOKUP(B382, D!B:B,  D!E:E),  -1000000000)
)</f>
        <v>-1.0131201139078403</v>
      </c>
    </row>
    <row r="383" spans="2:6" x14ac:dyDescent="0.25">
      <c r="B383" t="s">
        <v>918</v>
      </c>
      <c r="C383" s="17" t="str">
        <f>VLOOKUP(Table4[[#This Row],[Name]],Table1[[Player]:[Status]],4,FALSE)</f>
        <v>Seth</v>
      </c>
      <c r="D383" s="17" t="str">
        <f>VLOOKUP(Table4[[#This Row],[Name]],Table1[[Player]:[FP/G]],3,FALSE)</f>
        <v>C</v>
      </c>
      <c r="E383" s="17">
        <f>VLOOKUP(Table4[[#This Row],[Name]],Table1[[Player]:[Age]],5,FALSE)</f>
        <v>25</v>
      </c>
      <c r="F383" s="10">
        <f>MAX(
  _xlfn.IFNA(_xlfn.XLOOKUP(B383,'C'!B:B,'C'!E:E),  -1000000000),
  _xlfn.IFNA(_xlfn.XLOOKUP(B383, LW!B:B, LW!E:E), -1000000000),
  _xlfn.IFNA(_xlfn.XLOOKUP(B383, RW!B:B, RW!E:E), -1000000000),
  _xlfn.IFNA(_xlfn.XLOOKUP(B383, D!B:B,  D!E:E),  -1000000000)
)</f>
        <v>-1.0204847451152603</v>
      </c>
    </row>
    <row r="384" spans="2:6" x14ac:dyDescent="0.25">
      <c r="B384" t="s">
        <v>1299</v>
      </c>
      <c r="C384" s="17" t="str">
        <f>VLOOKUP(Table4[[#This Row],[Name]],Table1[[Player]:[Status]],4,FALSE)</f>
        <v>W &lt;small&gt;(Mon)&lt;/small&gt;</v>
      </c>
      <c r="D384" s="17" t="str">
        <f>VLOOKUP(Table4[[#This Row],[Name]],Table1[[Player]:[FP/G]],3,FALSE)</f>
        <v>D</v>
      </c>
      <c r="E384" s="17">
        <f>VLOOKUP(Table4[[#This Row],[Name]],Table1[[Player]:[Age]],5,FALSE)</f>
        <v>33</v>
      </c>
      <c r="F384" s="10">
        <f>MAX(
  _xlfn.IFNA(_xlfn.XLOOKUP(B384,'C'!B:B,'C'!E:E),  -1000000000),
  _xlfn.IFNA(_xlfn.XLOOKUP(B384, LW!B:B, LW!E:E), -1000000000),
  _xlfn.IFNA(_xlfn.XLOOKUP(B384, RW!B:B, RW!E:E), -1000000000),
  _xlfn.IFNA(_xlfn.XLOOKUP(B384, D!B:B,  D!E:E),  -1000000000)
)</f>
        <v>-1.02409565126047</v>
      </c>
    </row>
    <row r="385" spans="2:6" x14ac:dyDescent="0.25">
      <c r="B385" t="s">
        <v>670</v>
      </c>
      <c r="C385" s="17" t="str">
        <f>VLOOKUP(Table4[[#This Row],[Name]],Table1[[Player]:[Status]],4,FALSE)</f>
        <v>W &lt;small&gt;(Mon)&lt;/small&gt;</v>
      </c>
      <c r="D385" s="17" t="str">
        <f>VLOOKUP(Table4[[#This Row],[Name]],Table1[[Player]:[FP/G]],3,FALSE)</f>
        <v>C,LW</v>
      </c>
      <c r="E385" s="17">
        <f>VLOOKUP(Table4[[#This Row],[Name]],Table1[[Player]:[Age]],5,FALSE)</f>
        <v>24</v>
      </c>
      <c r="F385" s="10">
        <f>MAX(
  _xlfn.IFNA(_xlfn.XLOOKUP(B385,'C'!B:B,'C'!E:E),  -1000000000),
  _xlfn.IFNA(_xlfn.XLOOKUP(B385, LW!B:B, LW!E:E), -1000000000),
  _xlfn.IFNA(_xlfn.XLOOKUP(B385, RW!B:B, RW!E:E), -1000000000),
  _xlfn.IFNA(_xlfn.XLOOKUP(B385, D!B:B,  D!E:E),  -1000000000)
)</f>
        <v>-1.0275955874178102</v>
      </c>
    </row>
    <row r="386" spans="2:6" x14ac:dyDescent="0.25">
      <c r="B386" t="s">
        <v>498</v>
      </c>
      <c r="C386" s="17" t="str">
        <f>VLOOKUP(Table4[[#This Row],[Name]],Table1[[Player]:[Status]],4,FALSE)</f>
        <v>W &lt;small&gt;(Mon)&lt;/small&gt;</v>
      </c>
      <c r="D386" s="17" t="str">
        <f>VLOOKUP(Table4[[#This Row],[Name]],Table1[[Player]:[FP/G]],3,FALSE)</f>
        <v>LW,RW</v>
      </c>
      <c r="E386" s="17">
        <f>VLOOKUP(Table4[[#This Row],[Name]],Table1[[Player]:[Age]],5,FALSE)</f>
        <v>37</v>
      </c>
      <c r="F386" s="10">
        <f>MAX(
  _xlfn.IFNA(_xlfn.XLOOKUP(B386,'C'!B:B,'C'!E:E),  -1000000000),
  _xlfn.IFNA(_xlfn.XLOOKUP(B386, LW!B:B, LW!E:E), -1000000000),
  _xlfn.IFNA(_xlfn.XLOOKUP(B386, RW!B:B, RW!E:E), -1000000000),
  _xlfn.IFNA(_xlfn.XLOOKUP(B386, D!B:B,  D!E:E),  -1000000000)
)</f>
        <v>-1.03926982111886</v>
      </c>
    </row>
    <row r="387" spans="2:6" x14ac:dyDescent="0.25">
      <c r="B387" t="s">
        <v>1610</v>
      </c>
      <c r="C387" s="17" t="str">
        <f>VLOOKUP(Table4[[#This Row],[Name]],Table1[[Player]:[Status]],4,FALSE)</f>
        <v>W &lt;small&gt;(Mon)&lt;/small&gt;</v>
      </c>
      <c r="D387" s="17" t="str">
        <f>VLOOKUP(Table4[[#This Row],[Name]],Table1[[Player]:[FP/G]],3,FALSE)</f>
        <v>D</v>
      </c>
      <c r="E387" s="17">
        <f>VLOOKUP(Table4[[#This Row],[Name]],Table1[[Player]:[Age]],5,FALSE)</f>
        <v>27</v>
      </c>
      <c r="F387" s="10">
        <f>MAX(
  _xlfn.IFNA(_xlfn.XLOOKUP(B387,'C'!B:B,'C'!E:E),  -1000000000),
  _xlfn.IFNA(_xlfn.XLOOKUP(B387, LW!B:B, LW!E:E), -1000000000),
  _xlfn.IFNA(_xlfn.XLOOKUP(B387, RW!B:B, RW!E:E), -1000000000),
  _xlfn.IFNA(_xlfn.XLOOKUP(B387, D!B:B,  D!E:E),  -1000000000)
)</f>
        <v>-1.05020335906215</v>
      </c>
    </row>
    <row r="388" spans="2:6" x14ac:dyDescent="0.25">
      <c r="B388" t="s">
        <v>820</v>
      </c>
      <c r="C388" s="17" t="str">
        <f>VLOOKUP(Table4[[#This Row],[Name]],Table1[[Player]:[Status]],4,FALSE)</f>
        <v>W &lt;small&gt;(Mon)&lt;/small&gt;</v>
      </c>
      <c r="D388" s="17" t="str">
        <f>VLOOKUP(Table4[[#This Row],[Name]],Table1[[Player]:[FP/G]],3,FALSE)</f>
        <v>D</v>
      </c>
      <c r="E388" s="17">
        <f>VLOOKUP(Table4[[#This Row],[Name]],Table1[[Player]:[Age]],5,FALSE)</f>
        <v>25</v>
      </c>
      <c r="F388" s="10">
        <f>MAX(
  _xlfn.IFNA(_xlfn.XLOOKUP(B388,'C'!B:B,'C'!E:E),  -1000000000),
  _xlfn.IFNA(_xlfn.XLOOKUP(B388, LW!B:B, LW!E:E), -1000000000),
  _xlfn.IFNA(_xlfn.XLOOKUP(B388, RW!B:B, RW!E:E), -1000000000),
  _xlfn.IFNA(_xlfn.XLOOKUP(B388, D!B:B,  D!E:E),  -1000000000)
)</f>
        <v>-1.05640625291392</v>
      </c>
    </row>
    <row r="389" spans="2:6" x14ac:dyDescent="0.25">
      <c r="B389" t="s">
        <v>1633</v>
      </c>
      <c r="C389" s="17" t="str">
        <f>VLOOKUP(Table4[[#This Row],[Name]],Table1[[Player]:[Status]],4,FALSE)</f>
        <v>W &lt;small&gt;(Mon)&lt;/small&gt;</v>
      </c>
      <c r="D389" s="17" t="str">
        <f>VLOOKUP(Table4[[#This Row],[Name]],Table1[[Player]:[FP/G]],3,FALSE)</f>
        <v>D</v>
      </c>
      <c r="E389" s="17">
        <f>VLOOKUP(Table4[[#This Row],[Name]],Table1[[Player]:[Age]],5,FALSE)</f>
        <v>25</v>
      </c>
      <c r="F389" s="10">
        <f>MAX(
  _xlfn.IFNA(_xlfn.XLOOKUP(B389,'C'!B:B,'C'!E:E),  -1000000000),
  _xlfn.IFNA(_xlfn.XLOOKUP(B389, LW!B:B, LW!E:E), -1000000000),
  _xlfn.IFNA(_xlfn.XLOOKUP(B389, RW!B:B, RW!E:E), -1000000000),
  _xlfn.IFNA(_xlfn.XLOOKUP(B389, D!B:B,  D!E:E),  -1000000000)
)</f>
        <v>-1.0574926314433903</v>
      </c>
    </row>
    <row r="390" spans="2:6" x14ac:dyDescent="0.25">
      <c r="B390" t="s">
        <v>594</v>
      </c>
      <c r="C390" s="17" t="str">
        <f>VLOOKUP(Table4[[#This Row],[Name]],Table1[[Player]:[Status]],4,FALSE)</f>
        <v>W &lt;small&gt;(Mon)&lt;/small&gt;</v>
      </c>
      <c r="D390" s="17" t="str">
        <f>VLOOKUP(Table4[[#This Row],[Name]],Table1[[Player]:[FP/G]],3,FALSE)</f>
        <v>C</v>
      </c>
      <c r="E390" s="17">
        <f>VLOOKUP(Table4[[#This Row],[Name]],Table1[[Player]:[Age]],5,FALSE)</f>
        <v>31</v>
      </c>
      <c r="F390" s="10">
        <f>MAX(
  _xlfn.IFNA(_xlfn.XLOOKUP(B390,'C'!B:B,'C'!E:E),  -1000000000),
  _xlfn.IFNA(_xlfn.XLOOKUP(B390, LW!B:B, LW!E:E), -1000000000),
  _xlfn.IFNA(_xlfn.XLOOKUP(B390, RW!B:B, RW!E:E), -1000000000),
  _xlfn.IFNA(_xlfn.XLOOKUP(B390, D!B:B,  D!E:E),  -1000000000)
)</f>
        <v>-1.0609540493193301</v>
      </c>
    </row>
    <row r="391" spans="2:6" x14ac:dyDescent="0.25">
      <c r="B391" t="s">
        <v>606</v>
      </c>
      <c r="C391" s="17" t="str">
        <f>VLOOKUP(Table4[[#This Row],[Name]],Table1[[Player]:[Status]],4,FALSE)</f>
        <v>W &lt;small&gt;(Mon)&lt;/small&gt;</v>
      </c>
      <c r="D391" s="17" t="str">
        <f>VLOOKUP(Table4[[#This Row],[Name]],Table1[[Player]:[FP/G]],3,FALSE)</f>
        <v>LW,RW</v>
      </c>
      <c r="E391" s="17">
        <f>VLOOKUP(Table4[[#This Row],[Name]],Table1[[Player]:[Age]],5,FALSE)</f>
        <v>24</v>
      </c>
      <c r="F391" s="10">
        <f>MAX(
  _xlfn.IFNA(_xlfn.XLOOKUP(B391,'C'!B:B,'C'!E:E),  -1000000000),
  _xlfn.IFNA(_xlfn.XLOOKUP(B391, LW!B:B, LW!E:E), -1000000000),
  _xlfn.IFNA(_xlfn.XLOOKUP(B391, RW!B:B, RW!E:E), -1000000000),
  _xlfn.IFNA(_xlfn.XLOOKUP(B391, D!B:B,  D!E:E),  -1000000000)
)</f>
        <v>-1.06371549794406</v>
      </c>
    </row>
    <row r="392" spans="2:6" x14ac:dyDescent="0.25">
      <c r="B392" t="s">
        <v>682</v>
      </c>
      <c r="C392" s="17" t="str">
        <f>VLOOKUP(Table4[[#This Row],[Name]],Table1[[Player]:[Status]],4,FALSE)</f>
        <v>W &lt;small&gt;(Mon)&lt;/small&gt;</v>
      </c>
      <c r="D392" s="17" t="str">
        <f>VLOOKUP(Table4[[#This Row],[Name]],Table1[[Player]:[FP/G]],3,FALSE)</f>
        <v>D</v>
      </c>
      <c r="E392" s="17">
        <f>VLOOKUP(Table4[[#This Row],[Name]],Table1[[Player]:[Age]],5,FALSE)</f>
        <v>25</v>
      </c>
      <c r="F392" s="10">
        <f>MAX(
  _xlfn.IFNA(_xlfn.XLOOKUP(B392,'C'!B:B,'C'!E:E),  -1000000000),
  _xlfn.IFNA(_xlfn.XLOOKUP(B392, LW!B:B, LW!E:E), -1000000000),
  _xlfn.IFNA(_xlfn.XLOOKUP(B392, RW!B:B, RW!E:E), -1000000000),
  _xlfn.IFNA(_xlfn.XLOOKUP(B392, D!B:B,  D!E:E),  -1000000000)
)</f>
        <v>-1.07720686691819</v>
      </c>
    </row>
    <row r="393" spans="2:6" x14ac:dyDescent="0.25">
      <c r="B393" t="s">
        <v>738</v>
      </c>
      <c r="C393" s="17" t="str">
        <f>VLOOKUP(Table4[[#This Row],[Name]],Table1[[Player]:[Status]],4,FALSE)</f>
        <v>W &lt;small&gt;(Mon)&lt;/small&gt;</v>
      </c>
      <c r="D393" s="17" t="str">
        <f>VLOOKUP(Table4[[#This Row],[Name]],Table1[[Player]:[FP/G]],3,FALSE)</f>
        <v>D</v>
      </c>
      <c r="E393" s="17">
        <f>VLOOKUP(Table4[[#This Row],[Name]],Table1[[Player]:[Age]],5,FALSE)</f>
        <v>32</v>
      </c>
      <c r="F393" s="10">
        <f>MAX(
  _xlfn.IFNA(_xlfn.XLOOKUP(B393,'C'!B:B,'C'!E:E),  -1000000000),
  _xlfn.IFNA(_xlfn.XLOOKUP(B393, LW!B:B, LW!E:E), -1000000000),
  _xlfn.IFNA(_xlfn.XLOOKUP(B393, RW!B:B, RW!E:E), -1000000000),
  _xlfn.IFNA(_xlfn.XLOOKUP(B393, D!B:B,  D!E:E),  -1000000000)
)</f>
        <v>-1.09462219036469</v>
      </c>
    </row>
    <row r="394" spans="2:6" x14ac:dyDescent="0.25">
      <c r="B394" t="s">
        <v>540</v>
      </c>
      <c r="C394" s="17" t="str">
        <f>VLOOKUP(Table4[[#This Row],[Name]],Table1[[Player]:[Status]],4,FALSE)</f>
        <v>W &lt;small&gt;(Mon)&lt;/small&gt;</v>
      </c>
      <c r="D394" s="17" t="str">
        <f>VLOOKUP(Table4[[#This Row],[Name]],Table1[[Player]:[FP/G]],3,FALSE)</f>
        <v>C,RW</v>
      </c>
      <c r="E394" s="17">
        <f>VLOOKUP(Table4[[#This Row],[Name]],Table1[[Player]:[Age]],5,FALSE)</f>
        <v>30</v>
      </c>
      <c r="F394" s="10">
        <f>MAX(
  _xlfn.IFNA(_xlfn.XLOOKUP(B394,'C'!B:B,'C'!E:E),  -1000000000),
  _xlfn.IFNA(_xlfn.XLOOKUP(B394, LW!B:B, LW!E:E), -1000000000),
  _xlfn.IFNA(_xlfn.XLOOKUP(B394, RW!B:B, RW!E:E), -1000000000),
  _xlfn.IFNA(_xlfn.XLOOKUP(B394, D!B:B,  D!E:E),  -1000000000)
)</f>
        <v>-1.0948610789106601</v>
      </c>
    </row>
    <row r="395" spans="2:6" x14ac:dyDescent="0.25">
      <c r="B395" t="s">
        <v>814</v>
      </c>
      <c r="C395" s="17" t="str">
        <f>VLOOKUP(Table4[[#This Row],[Name]],Table1[[Player]:[Status]],4,FALSE)</f>
        <v>W &lt;small&gt;(Mon)&lt;/small&gt;</v>
      </c>
      <c r="D395" s="17" t="str">
        <f>VLOOKUP(Table4[[#This Row],[Name]],Table1[[Player]:[FP/G]],3,FALSE)</f>
        <v>D</v>
      </c>
      <c r="E395" s="17">
        <f>VLOOKUP(Table4[[#This Row],[Name]],Table1[[Player]:[Age]],5,FALSE)</f>
        <v>25</v>
      </c>
      <c r="F395" s="10">
        <f>MAX(
  _xlfn.IFNA(_xlfn.XLOOKUP(B395,'C'!B:B,'C'!E:E),  -1000000000),
  _xlfn.IFNA(_xlfn.XLOOKUP(B395, LW!B:B, LW!E:E), -1000000000),
  _xlfn.IFNA(_xlfn.XLOOKUP(B395, RW!B:B, RW!E:E), -1000000000),
  _xlfn.IFNA(_xlfn.XLOOKUP(B395, D!B:B,  D!E:E),  -1000000000)
)</f>
        <v>-1.1107850892236901</v>
      </c>
    </row>
    <row r="396" spans="2:6" x14ac:dyDescent="0.25">
      <c r="B396" t="s">
        <v>816</v>
      </c>
      <c r="C396" s="17" t="str">
        <f>VLOOKUP(Table4[[#This Row],[Name]],Table1[[Player]:[Status]],4,FALSE)</f>
        <v>W &lt;small&gt;(Mon)&lt;/small&gt;</v>
      </c>
      <c r="D396" s="17" t="str">
        <f>VLOOKUP(Table4[[#This Row],[Name]],Table1[[Player]:[FP/G]],3,FALSE)</f>
        <v>C,LW</v>
      </c>
      <c r="E396" s="17">
        <f>VLOOKUP(Table4[[#This Row],[Name]],Table1[[Player]:[Age]],5,FALSE)</f>
        <v>27</v>
      </c>
      <c r="F396" s="10">
        <f>MAX(
  _xlfn.IFNA(_xlfn.XLOOKUP(B396,'C'!B:B,'C'!E:E),  -1000000000),
  _xlfn.IFNA(_xlfn.XLOOKUP(B396, LW!B:B, LW!E:E), -1000000000),
  _xlfn.IFNA(_xlfn.XLOOKUP(B396, RW!B:B, RW!E:E), -1000000000),
  _xlfn.IFNA(_xlfn.XLOOKUP(B396, D!B:B,  D!E:E),  -1000000000)
)</f>
        <v>-1.1133364295379802</v>
      </c>
    </row>
    <row r="397" spans="2:6" x14ac:dyDescent="0.25">
      <c r="B397" t="s">
        <v>1620</v>
      </c>
      <c r="C397" s="17" t="str">
        <f>VLOOKUP(Table4[[#This Row],[Name]],Table1[[Player]:[Status]],4,FALSE)</f>
        <v>W &lt;small&gt;(Mon)&lt;/small&gt;</v>
      </c>
      <c r="D397" s="17" t="str">
        <f>VLOOKUP(Table4[[#This Row],[Name]],Table1[[Player]:[FP/G]],3,FALSE)</f>
        <v>D</v>
      </c>
      <c r="E397" s="17">
        <f>VLOOKUP(Table4[[#This Row],[Name]],Table1[[Player]:[Age]],5,FALSE)</f>
        <v>25</v>
      </c>
      <c r="F397" s="10">
        <f>MAX(
  _xlfn.IFNA(_xlfn.XLOOKUP(B397,'C'!B:B,'C'!E:E),  -1000000000),
  _xlfn.IFNA(_xlfn.XLOOKUP(B397, LW!B:B, LW!E:E), -1000000000),
  _xlfn.IFNA(_xlfn.XLOOKUP(B397, RW!B:B, RW!E:E), -1000000000),
  _xlfn.IFNA(_xlfn.XLOOKUP(B397, D!B:B,  D!E:E),  -1000000000)
)</f>
        <v>-1.1160434416324301</v>
      </c>
    </row>
    <row r="398" spans="2:6" x14ac:dyDescent="0.25">
      <c r="B398" t="s">
        <v>1619</v>
      </c>
      <c r="C398" s="17" t="str">
        <f>VLOOKUP(Table4[[#This Row],[Name]],Table1[[Player]:[Status]],4,FALSE)</f>
        <v>W &lt;small&gt;(Mon)&lt;/small&gt;</v>
      </c>
      <c r="D398" s="17" t="str">
        <f>VLOOKUP(Table4[[#This Row],[Name]],Table1[[Player]:[FP/G]],3,FALSE)</f>
        <v>D</v>
      </c>
      <c r="E398" s="17">
        <f>VLOOKUP(Table4[[#This Row],[Name]],Table1[[Player]:[Age]],5,FALSE)</f>
        <v>28</v>
      </c>
      <c r="F398" s="10">
        <f>MAX(
  _xlfn.IFNA(_xlfn.XLOOKUP(B398,'C'!B:B,'C'!E:E),  -1000000000),
  _xlfn.IFNA(_xlfn.XLOOKUP(B398, LW!B:B, LW!E:E), -1000000000),
  _xlfn.IFNA(_xlfn.XLOOKUP(B398, RW!B:B, RW!E:E), -1000000000),
  _xlfn.IFNA(_xlfn.XLOOKUP(B398, D!B:B,  D!E:E),  -1000000000)
)</f>
        <v>-1.1206460194032104</v>
      </c>
    </row>
    <row r="399" spans="2:6" x14ac:dyDescent="0.25">
      <c r="B399" t="s">
        <v>1593</v>
      </c>
      <c r="C399" s="17" t="str">
        <f>VLOOKUP(Table4[[#This Row],[Name]],Table1[[Player]:[Status]],4,FALSE)</f>
        <v>Isaac</v>
      </c>
      <c r="D399" s="17" t="str">
        <f>VLOOKUP(Table4[[#This Row],[Name]],Table1[[Player]:[FP/G]],3,FALSE)</f>
        <v>C</v>
      </c>
      <c r="E399" s="17">
        <f>VLOOKUP(Table4[[#This Row],[Name]],Table1[[Player]:[Age]],5,FALSE)</f>
        <v>21</v>
      </c>
      <c r="F399" s="10">
        <f>MAX(
  _xlfn.IFNA(_xlfn.XLOOKUP(B399,'C'!B:B,'C'!E:E),  -1000000000),
  _xlfn.IFNA(_xlfn.XLOOKUP(B399, LW!B:B, LW!E:E), -1000000000),
  _xlfn.IFNA(_xlfn.XLOOKUP(B399, RW!B:B, RW!E:E), -1000000000),
  _xlfn.IFNA(_xlfn.XLOOKUP(B399, D!B:B,  D!E:E),  -1000000000)
)</f>
        <v>-1.1237040907293201</v>
      </c>
    </row>
    <row r="400" spans="2:6" x14ac:dyDescent="0.25">
      <c r="B400" t="s">
        <v>662</v>
      </c>
      <c r="C400" s="17" t="str">
        <f>VLOOKUP(Table4[[#This Row],[Name]],Table1[[Player]:[Status]],4,FALSE)</f>
        <v>W &lt;small&gt;(Mon)&lt;/small&gt;</v>
      </c>
      <c r="D400" s="17" t="str">
        <f>VLOOKUP(Table4[[#This Row],[Name]],Table1[[Player]:[FP/G]],3,FALSE)</f>
        <v>D</v>
      </c>
      <c r="E400" s="17">
        <f>VLOOKUP(Table4[[#This Row],[Name]],Table1[[Player]:[Age]],5,FALSE)</f>
        <v>37</v>
      </c>
      <c r="F400" s="10">
        <f>MAX(
  _xlfn.IFNA(_xlfn.XLOOKUP(B400,'C'!B:B,'C'!E:E),  -1000000000),
  _xlfn.IFNA(_xlfn.XLOOKUP(B400, LW!B:B, LW!E:E), -1000000000),
  _xlfn.IFNA(_xlfn.XLOOKUP(B400, RW!B:B, RW!E:E), -1000000000),
  _xlfn.IFNA(_xlfn.XLOOKUP(B400, D!B:B,  D!E:E),  -1000000000)
)</f>
        <v>-1.1301259505604402</v>
      </c>
    </row>
    <row r="401" spans="2:6" x14ac:dyDescent="0.25">
      <c r="B401" t="s">
        <v>1224</v>
      </c>
      <c r="C401" s="17" t="str">
        <f>VLOOKUP(Table4[[#This Row],[Name]],Table1[[Player]:[Status]],4,FALSE)</f>
        <v>W &lt;small&gt;(Mon)&lt;/small&gt;</v>
      </c>
      <c r="D401" s="17" t="str">
        <f>VLOOKUP(Table4[[#This Row],[Name]],Table1[[Player]:[FP/G]],3,FALSE)</f>
        <v>D</v>
      </c>
      <c r="E401" s="17">
        <f>VLOOKUP(Table4[[#This Row],[Name]],Table1[[Player]:[Age]],5,FALSE)</f>
        <v>34</v>
      </c>
      <c r="F401" s="10">
        <f>MAX(
  _xlfn.IFNA(_xlfn.XLOOKUP(B401,'C'!B:B,'C'!E:E),  -1000000000),
  _xlfn.IFNA(_xlfn.XLOOKUP(B401, LW!B:B, LW!E:E), -1000000000),
  _xlfn.IFNA(_xlfn.XLOOKUP(B401, RW!B:B, RW!E:E), -1000000000),
  _xlfn.IFNA(_xlfn.XLOOKUP(B401, D!B:B,  D!E:E),  -1000000000)
)</f>
        <v>-1.1387639305022703</v>
      </c>
    </row>
    <row r="402" spans="2:6" x14ac:dyDescent="0.25">
      <c r="B402" t="s">
        <v>788</v>
      </c>
      <c r="C402" s="17" t="str">
        <f>VLOOKUP(Table4[[#This Row],[Name]],Table1[[Player]:[Status]],4,FALSE)</f>
        <v>W &lt;small&gt;(Mon)&lt;/small&gt;</v>
      </c>
      <c r="D402" s="17" t="str">
        <f>VLOOKUP(Table4[[#This Row],[Name]],Table1[[Player]:[FP/G]],3,FALSE)</f>
        <v>D</v>
      </c>
      <c r="E402" s="17">
        <f>VLOOKUP(Table4[[#This Row],[Name]],Table1[[Player]:[Age]],5,FALSE)</f>
        <v>33</v>
      </c>
      <c r="F402" s="10">
        <f>MAX(
  _xlfn.IFNA(_xlfn.XLOOKUP(B402,'C'!B:B,'C'!E:E),  -1000000000),
  _xlfn.IFNA(_xlfn.XLOOKUP(B402, LW!B:B, LW!E:E), -1000000000),
  _xlfn.IFNA(_xlfn.XLOOKUP(B402, RW!B:B, RW!E:E), -1000000000),
  _xlfn.IFNA(_xlfn.XLOOKUP(B402, D!B:B,  D!E:E),  -1000000000)
)</f>
        <v>-1.1425173922035201</v>
      </c>
    </row>
    <row r="403" spans="2:6" x14ac:dyDescent="0.25">
      <c r="B403" t="s">
        <v>880</v>
      </c>
      <c r="C403" s="17" t="str">
        <f>VLOOKUP(Table4[[#This Row],[Name]],Table1[[Player]:[Status]],4,FALSE)</f>
        <v>W &lt;small&gt;(Mon)&lt;/small&gt;</v>
      </c>
      <c r="D403" s="17" t="str">
        <f>VLOOKUP(Table4[[#This Row],[Name]],Table1[[Player]:[FP/G]],3,FALSE)</f>
        <v>D</v>
      </c>
      <c r="E403" s="17">
        <f>VLOOKUP(Table4[[#This Row],[Name]],Table1[[Player]:[Age]],5,FALSE)</f>
        <v>27</v>
      </c>
      <c r="F403" s="10">
        <f>MAX(
  _xlfn.IFNA(_xlfn.XLOOKUP(B403,'C'!B:B,'C'!E:E),  -1000000000),
  _xlfn.IFNA(_xlfn.XLOOKUP(B403, LW!B:B, LW!E:E), -1000000000),
  _xlfn.IFNA(_xlfn.XLOOKUP(B403, RW!B:B, RW!E:E), -1000000000),
  _xlfn.IFNA(_xlfn.XLOOKUP(B403, D!B:B,  D!E:E),  -1000000000)
)</f>
        <v>-1.1524457394183802</v>
      </c>
    </row>
    <row r="404" spans="2:6" x14ac:dyDescent="0.25">
      <c r="B404" t="s">
        <v>1080</v>
      </c>
      <c r="C404" s="17" t="str">
        <f>VLOOKUP(Table4[[#This Row],[Name]],Table1[[Player]:[Status]],4,FALSE)</f>
        <v>W &lt;small&gt;(Mon)&lt;/small&gt;</v>
      </c>
      <c r="D404" s="17" t="str">
        <f>VLOOKUP(Table4[[#This Row],[Name]],Table1[[Player]:[FP/G]],3,FALSE)</f>
        <v>D</v>
      </c>
      <c r="E404" s="17">
        <f>VLOOKUP(Table4[[#This Row],[Name]],Table1[[Player]:[Age]],5,FALSE)</f>
        <v>31</v>
      </c>
      <c r="F404" s="10">
        <f>MAX(
  _xlfn.IFNA(_xlfn.XLOOKUP(B404,'C'!B:B,'C'!E:E),  -1000000000),
  _xlfn.IFNA(_xlfn.XLOOKUP(B404, LW!B:B, LW!E:E), -1000000000),
  _xlfn.IFNA(_xlfn.XLOOKUP(B404, RW!B:B, RW!E:E), -1000000000),
  _xlfn.IFNA(_xlfn.XLOOKUP(B404, D!B:B,  D!E:E),  -1000000000)
)</f>
        <v>-1.1567332200165801</v>
      </c>
    </row>
    <row r="405" spans="2:6" x14ac:dyDescent="0.25">
      <c r="B405" t="s">
        <v>996</v>
      </c>
      <c r="C405" s="17" t="str">
        <f>VLOOKUP(Table4[[#This Row],[Name]],Table1[[Player]:[Status]],4,FALSE)</f>
        <v>W &lt;small&gt;(Mon)&lt;/small&gt;</v>
      </c>
      <c r="D405" s="17" t="str">
        <f>VLOOKUP(Table4[[#This Row],[Name]],Table1[[Player]:[FP/G]],3,FALSE)</f>
        <v>D</v>
      </c>
      <c r="E405" s="17">
        <f>VLOOKUP(Table4[[#This Row],[Name]],Table1[[Player]:[Age]],5,FALSE)</f>
        <v>26</v>
      </c>
      <c r="F405" s="10">
        <f>MAX(
  _xlfn.IFNA(_xlfn.XLOOKUP(B405,'C'!B:B,'C'!E:E),  -1000000000),
  _xlfn.IFNA(_xlfn.XLOOKUP(B405, LW!B:B, LW!E:E), -1000000000),
  _xlfn.IFNA(_xlfn.XLOOKUP(B405, RW!B:B, RW!E:E), -1000000000),
  _xlfn.IFNA(_xlfn.XLOOKUP(B405, D!B:B,  D!E:E),  -1000000000)
)</f>
        <v>-1.1570263768209801</v>
      </c>
    </row>
    <row r="406" spans="2:6" x14ac:dyDescent="0.25">
      <c r="B406" t="s">
        <v>762</v>
      </c>
      <c r="C406" s="17" t="str">
        <f>VLOOKUP(Table4[[#This Row],[Name]],Table1[[Player]:[Status]],4,FALSE)</f>
        <v>W &lt;small&gt;(Mon)&lt;/small&gt;</v>
      </c>
      <c r="D406" s="17" t="str">
        <f>VLOOKUP(Table4[[#This Row],[Name]],Table1[[Player]:[FP/G]],3,FALSE)</f>
        <v>C</v>
      </c>
      <c r="E406" s="17">
        <f>VLOOKUP(Table4[[#This Row],[Name]],Table1[[Player]:[Age]],5,FALSE)</f>
        <v>35</v>
      </c>
      <c r="F406" s="10">
        <f>MAX(
  _xlfn.IFNA(_xlfn.XLOOKUP(B406,'C'!B:B,'C'!E:E),  -1000000000),
  _xlfn.IFNA(_xlfn.XLOOKUP(B406, LW!B:B, LW!E:E), -1000000000),
  _xlfn.IFNA(_xlfn.XLOOKUP(B406, RW!B:B, RW!E:E), -1000000000),
  _xlfn.IFNA(_xlfn.XLOOKUP(B406, D!B:B,  D!E:E),  -1000000000)
)</f>
        <v>-1.1580481006745402</v>
      </c>
    </row>
    <row r="407" spans="2:6" x14ac:dyDescent="0.25">
      <c r="B407" t="s">
        <v>718</v>
      </c>
      <c r="C407" s="17" t="str">
        <f>VLOOKUP(Table4[[#This Row],[Name]],Table1[[Player]:[Status]],4,FALSE)</f>
        <v>Gary</v>
      </c>
      <c r="D407" s="17" t="str">
        <f>VLOOKUP(Table4[[#This Row],[Name]],Table1[[Player]:[FP/G]],3,FALSE)</f>
        <v>LW,RW</v>
      </c>
      <c r="E407" s="17">
        <f>VLOOKUP(Table4[[#This Row],[Name]],Table1[[Player]:[Age]],5,FALSE)</f>
        <v>33</v>
      </c>
      <c r="F407" s="10">
        <f>MAX(
  _xlfn.IFNA(_xlfn.XLOOKUP(B407,'C'!B:B,'C'!E:E),  -1000000000),
  _xlfn.IFNA(_xlfn.XLOOKUP(B407, LW!B:B, LW!E:E), -1000000000),
  _xlfn.IFNA(_xlfn.XLOOKUP(B407, RW!B:B, RW!E:E), -1000000000),
  _xlfn.IFNA(_xlfn.XLOOKUP(B407, D!B:B,  D!E:E),  -1000000000)
)</f>
        <v>-1.1623184917809</v>
      </c>
    </row>
    <row r="408" spans="2:6" x14ac:dyDescent="0.25">
      <c r="B408" t="s">
        <v>340</v>
      </c>
      <c r="C408" s="17" t="str">
        <f>VLOOKUP(Table4[[#This Row],[Name]],Table1[[Player]:[Status]],4,FALSE)</f>
        <v>Abby</v>
      </c>
      <c r="D408" s="17" t="str">
        <f>VLOOKUP(Table4[[#This Row],[Name]],Table1[[Player]:[FP/G]],3,FALSE)</f>
        <v>RW</v>
      </c>
      <c r="E408" s="17">
        <f>VLOOKUP(Table4[[#This Row],[Name]],Table1[[Player]:[Age]],5,FALSE)</f>
        <v>24</v>
      </c>
      <c r="F408" s="10">
        <f>MAX(
  _xlfn.IFNA(_xlfn.XLOOKUP(B408,'C'!B:B,'C'!E:E),  -1000000000),
  _xlfn.IFNA(_xlfn.XLOOKUP(B408, LW!B:B, LW!E:E), -1000000000),
  _xlfn.IFNA(_xlfn.XLOOKUP(B408, RW!B:B, RW!E:E), -1000000000),
  _xlfn.IFNA(_xlfn.XLOOKUP(B408, D!B:B,  D!E:E),  -1000000000)
)</f>
        <v>-1.1624101371796201</v>
      </c>
    </row>
    <row r="409" spans="2:6" x14ac:dyDescent="0.25">
      <c r="B409" t="s">
        <v>904</v>
      </c>
      <c r="C409" s="17" t="str">
        <f>VLOOKUP(Table4[[#This Row],[Name]],Table1[[Player]:[Status]],4,FALSE)</f>
        <v>W &lt;small&gt;(Mon)&lt;/small&gt;</v>
      </c>
      <c r="D409" s="17" t="str">
        <f>VLOOKUP(Table4[[#This Row],[Name]],Table1[[Player]:[FP/G]],3,FALSE)</f>
        <v>D</v>
      </c>
      <c r="E409" s="17">
        <f>VLOOKUP(Table4[[#This Row],[Name]],Table1[[Player]:[Age]],5,FALSE)</f>
        <v>25</v>
      </c>
      <c r="F409" s="10">
        <f>MAX(
  _xlfn.IFNA(_xlfn.XLOOKUP(B409,'C'!B:B,'C'!E:E),  -1000000000),
  _xlfn.IFNA(_xlfn.XLOOKUP(B409, LW!B:B, LW!E:E), -1000000000),
  _xlfn.IFNA(_xlfn.XLOOKUP(B409, RW!B:B, RW!E:E), -1000000000),
  _xlfn.IFNA(_xlfn.XLOOKUP(B409, D!B:B,  D!E:E),  -1000000000)
)</f>
        <v>-1.1628630392434602</v>
      </c>
    </row>
    <row r="410" spans="2:6" x14ac:dyDescent="0.25">
      <c r="B410" t="s">
        <v>678</v>
      </c>
      <c r="C410" s="17" t="str">
        <f>VLOOKUP(Table4[[#This Row],[Name]],Table1[[Player]:[Status]],4,FALSE)</f>
        <v>W &lt;small&gt;(Mon)&lt;/small&gt;</v>
      </c>
      <c r="D410" s="17" t="str">
        <f>VLOOKUP(Table4[[#This Row],[Name]],Table1[[Player]:[FP/G]],3,FALSE)</f>
        <v>LW</v>
      </c>
      <c r="E410" s="17">
        <f>VLOOKUP(Table4[[#This Row],[Name]],Table1[[Player]:[Age]],5,FALSE)</f>
        <v>34</v>
      </c>
      <c r="F410" s="10">
        <f>MAX(
  _xlfn.IFNA(_xlfn.XLOOKUP(B410,'C'!B:B,'C'!E:E),  -1000000000),
  _xlfn.IFNA(_xlfn.XLOOKUP(B410, LW!B:B, LW!E:E), -1000000000),
  _xlfn.IFNA(_xlfn.XLOOKUP(B410, RW!B:B, RW!E:E), -1000000000),
  _xlfn.IFNA(_xlfn.XLOOKUP(B410, D!B:B,  D!E:E),  -1000000000)
)</f>
        <v>-1.1679111094568397</v>
      </c>
    </row>
    <row r="411" spans="2:6" x14ac:dyDescent="0.25">
      <c r="B411" t="s">
        <v>1605</v>
      </c>
      <c r="C411" s="17" t="str">
        <f>VLOOKUP(Table4[[#This Row],[Name]],Table1[[Player]:[Status]],4,FALSE)</f>
        <v>W &lt;small&gt;(Mon)&lt;/small&gt;</v>
      </c>
      <c r="D411" s="17" t="str">
        <f>VLOOKUP(Table4[[#This Row],[Name]],Table1[[Player]:[FP/G]],3,FALSE)</f>
        <v>LW,RW</v>
      </c>
      <c r="E411" s="17">
        <f>VLOOKUP(Table4[[#This Row],[Name]],Table1[[Player]:[Age]],5,FALSE)</f>
        <v>24</v>
      </c>
      <c r="F411" s="10">
        <f>MAX(
  _xlfn.IFNA(_xlfn.XLOOKUP(B411,'C'!B:B,'C'!E:E),  -1000000000),
  _xlfn.IFNA(_xlfn.XLOOKUP(B411, LW!B:B, LW!E:E), -1000000000),
  _xlfn.IFNA(_xlfn.XLOOKUP(B411, RW!B:B, RW!E:E), -1000000000),
  _xlfn.IFNA(_xlfn.XLOOKUP(B411, D!B:B,  D!E:E),  -1000000000)
)</f>
        <v>-1.1859771004253297</v>
      </c>
    </row>
    <row r="412" spans="2:6" x14ac:dyDescent="0.25">
      <c r="B412" t="s">
        <v>978</v>
      </c>
      <c r="C412" s="17" t="str">
        <f>VLOOKUP(Table4[[#This Row],[Name]],Table1[[Player]:[Status]],4,FALSE)</f>
        <v>W &lt;small&gt;(Mon)&lt;/small&gt;</v>
      </c>
      <c r="D412" s="17" t="str">
        <f>VLOOKUP(Table4[[#This Row],[Name]],Table1[[Player]:[FP/G]],3,FALSE)</f>
        <v>D</v>
      </c>
      <c r="E412" s="17">
        <f>VLOOKUP(Table4[[#This Row],[Name]],Table1[[Player]:[Age]],5,FALSE)</f>
        <v>34</v>
      </c>
      <c r="F412" s="10">
        <f>MAX(
  _xlfn.IFNA(_xlfn.XLOOKUP(B412,'C'!B:B,'C'!E:E),  -1000000000),
  _xlfn.IFNA(_xlfn.XLOOKUP(B412, LW!B:B, LW!E:E), -1000000000),
  _xlfn.IFNA(_xlfn.XLOOKUP(B412, RW!B:B, RW!E:E), -1000000000),
  _xlfn.IFNA(_xlfn.XLOOKUP(B412, D!B:B,  D!E:E),  -1000000000)
)</f>
        <v>-1.1907056960100302</v>
      </c>
    </row>
    <row r="413" spans="2:6" x14ac:dyDescent="0.25">
      <c r="B413" t="s">
        <v>1266</v>
      </c>
      <c r="C413" s="17" t="str">
        <f>VLOOKUP(Table4[[#This Row],[Name]],Table1[[Player]:[Status]],4,FALSE)</f>
        <v>W &lt;small&gt;(Mon)&lt;/small&gt;</v>
      </c>
      <c r="D413" s="17" t="str">
        <f>VLOOKUP(Table4[[#This Row],[Name]],Table1[[Player]:[FP/G]],3,FALSE)</f>
        <v>D</v>
      </c>
      <c r="E413" s="17">
        <f>VLOOKUP(Table4[[#This Row],[Name]],Table1[[Player]:[Age]],5,FALSE)</f>
        <v>26</v>
      </c>
      <c r="F413" s="10">
        <f>MAX(
  _xlfn.IFNA(_xlfn.XLOOKUP(B413,'C'!B:B,'C'!E:E),  -1000000000),
  _xlfn.IFNA(_xlfn.XLOOKUP(B413, LW!B:B, LW!E:E), -1000000000),
  _xlfn.IFNA(_xlfn.XLOOKUP(B413, RW!B:B, RW!E:E), -1000000000),
  _xlfn.IFNA(_xlfn.XLOOKUP(B413, D!B:B,  D!E:E),  -1000000000)
)</f>
        <v>-1.1948870930023101</v>
      </c>
    </row>
    <row r="414" spans="2:6" x14ac:dyDescent="0.25">
      <c r="B414" t="s">
        <v>576</v>
      </c>
      <c r="C414" s="17" t="str">
        <f>VLOOKUP(Table4[[#This Row],[Name]],Table1[[Player]:[Status]],4,FALSE)</f>
        <v>W &lt;small&gt;(Mon)&lt;/small&gt;</v>
      </c>
      <c r="D414" s="17" t="str">
        <f>VLOOKUP(Table4[[#This Row],[Name]],Table1[[Player]:[FP/G]],3,FALSE)</f>
        <v>C,LW</v>
      </c>
      <c r="E414" s="17">
        <f>VLOOKUP(Table4[[#This Row],[Name]],Table1[[Player]:[Age]],5,FALSE)</f>
        <v>31</v>
      </c>
      <c r="F414" s="10">
        <f>MAX(
  _xlfn.IFNA(_xlfn.XLOOKUP(B414,'C'!B:B,'C'!E:E),  -1000000000),
  _xlfn.IFNA(_xlfn.XLOOKUP(B414, LW!B:B, LW!E:E), -1000000000),
  _xlfn.IFNA(_xlfn.XLOOKUP(B414, RW!B:B, RW!E:E), -1000000000),
  _xlfn.IFNA(_xlfn.XLOOKUP(B414, D!B:B,  D!E:E),  -1000000000)
)</f>
        <v>-1.1952895898653604</v>
      </c>
    </row>
    <row r="415" spans="2:6" x14ac:dyDescent="0.25">
      <c r="B415" t="s">
        <v>1250</v>
      </c>
      <c r="C415" s="17" t="str">
        <f>VLOOKUP(Table4[[#This Row],[Name]],Table1[[Player]:[Status]],4,FALSE)</f>
        <v>W &lt;small&gt;(Mon)&lt;/small&gt;</v>
      </c>
      <c r="D415" s="17" t="str">
        <f>VLOOKUP(Table4[[#This Row],[Name]],Table1[[Player]:[FP/G]],3,FALSE)</f>
        <v>D</v>
      </c>
      <c r="E415" s="17">
        <f>VLOOKUP(Table4[[#This Row],[Name]],Table1[[Player]:[Age]],5,FALSE)</f>
        <v>27</v>
      </c>
      <c r="F415" s="10">
        <f>MAX(
  _xlfn.IFNA(_xlfn.XLOOKUP(B415,'C'!B:B,'C'!E:E),  -1000000000),
  _xlfn.IFNA(_xlfn.XLOOKUP(B415, LW!B:B, LW!E:E), -1000000000),
  _xlfn.IFNA(_xlfn.XLOOKUP(B415, RW!B:B, RW!E:E), -1000000000),
  _xlfn.IFNA(_xlfn.XLOOKUP(B415, D!B:B,  D!E:E),  -1000000000)
)</f>
        <v>-1.2027047615456803</v>
      </c>
    </row>
    <row r="416" spans="2:6" x14ac:dyDescent="0.25">
      <c r="B416" t="s">
        <v>872</v>
      </c>
      <c r="C416" s="17" t="str">
        <f>VLOOKUP(Table4[[#This Row],[Name]],Table1[[Player]:[Status]],4,FALSE)</f>
        <v>W &lt;small&gt;(Mon)&lt;/small&gt;</v>
      </c>
      <c r="D416" s="17" t="str">
        <f>VLOOKUP(Table4[[#This Row],[Name]],Table1[[Player]:[FP/G]],3,FALSE)</f>
        <v>D</v>
      </c>
      <c r="E416" s="17">
        <f>VLOOKUP(Table4[[#This Row],[Name]],Table1[[Player]:[Age]],5,FALSE)</f>
        <v>24</v>
      </c>
      <c r="F416" s="10">
        <f>MAX(
  _xlfn.IFNA(_xlfn.XLOOKUP(B416,'C'!B:B,'C'!E:E),  -1000000000),
  _xlfn.IFNA(_xlfn.XLOOKUP(B416, LW!B:B, LW!E:E), -1000000000),
  _xlfn.IFNA(_xlfn.XLOOKUP(B416, RW!B:B, RW!E:E), -1000000000),
  _xlfn.IFNA(_xlfn.XLOOKUP(B416, D!B:B,  D!E:E),  -1000000000)
)</f>
        <v>-1.2036419443032202</v>
      </c>
    </row>
    <row r="417" spans="2:6" x14ac:dyDescent="0.25">
      <c r="B417" t="s">
        <v>612</v>
      </c>
      <c r="C417" s="17" t="str">
        <f>VLOOKUP(Table4[[#This Row],[Name]],Table1[[Player]:[Status]],4,FALSE)</f>
        <v>Joel</v>
      </c>
      <c r="D417" s="17" t="str">
        <f>VLOOKUP(Table4[[#This Row],[Name]],Table1[[Player]:[FP/G]],3,FALSE)</f>
        <v>RW</v>
      </c>
      <c r="E417" s="17">
        <f>VLOOKUP(Table4[[#This Row],[Name]],Table1[[Player]:[Age]],5,FALSE)</f>
        <v>24</v>
      </c>
      <c r="F417" s="10">
        <f>MAX(
  _xlfn.IFNA(_xlfn.XLOOKUP(B417,'C'!B:B,'C'!E:E),  -1000000000),
  _xlfn.IFNA(_xlfn.XLOOKUP(B417, LW!B:B, LW!E:E), -1000000000),
  _xlfn.IFNA(_xlfn.XLOOKUP(B417, RW!B:B, RW!E:E), -1000000000),
  _xlfn.IFNA(_xlfn.XLOOKUP(B417, D!B:B,  D!E:E),  -1000000000)
)</f>
        <v>-1.2107520678375296</v>
      </c>
    </row>
    <row r="418" spans="2:6" x14ac:dyDescent="0.25">
      <c r="B418" t="s">
        <v>438</v>
      </c>
      <c r="C418" s="17" t="str">
        <f>VLOOKUP(Table4[[#This Row],[Name]],Table1[[Player]:[Status]],4,FALSE)</f>
        <v>Abby</v>
      </c>
      <c r="D418" s="17" t="str">
        <f>VLOOKUP(Table4[[#This Row],[Name]],Table1[[Player]:[FP/G]],3,FALSE)</f>
        <v>LW,RW</v>
      </c>
      <c r="E418" s="17">
        <f>VLOOKUP(Table4[[#This Row],[Name]],Table1[[Player]:[Age]],5,FALSE)</f>
        <v>24</v>
      </c>
      <c r="F418" s="10">
        <f>MAX(
  _xlfn.IFNA(_xlfn.XLOOKUP(B418,'C'!B:B,'C'!E:E),  -1000000000),
  _xlfn.IFNA(_xlfn.XLOOKUP(B418, LW!B:B, LW!E:E), -1000000000),
  _xlfn.IFNA(_xlfn.XLOOKUP(B418, RW!B:B, RW!E:E), -1000000000),
  _xlfn.IFNA(_xlfn.XLOOKUP(B418, D!B:B,  D!E:E),  -1000000000)
)</f>
        <v>-1.2350862078534197</v>
      </c>
    </row>
    <row r="419" spans="2:6" x14ac:dyDescent="0.25">
      <c r="B419" t="s">
        <v>428</v>
      </c>
      <c r="C419" s="17" t="str">
        <f>VLOOKUP(Table4[[#This Row],[Name]],Table1[[Player]:[Status]],4,FALSE)</f>
        <v>W &lt;small&gt;(Mon)&lt;/small&gt;</v>
      </c>
      <c r="D419" s="17" t="str">
        <f>VLOOKUP(Table4[[#This Row],[Name]],Table1[[Player]:[FP/G]],3,FALSE)</f>
        <v>C,LW</v>
      </c>
      <c r="E419" s="17">
        <f>VLOOKUP(Table4[[#This Row],[Name]],Table1[[Player]:[Age]],5,FALSE)</f>
        <v>23</v>
      </c>
      <c r="F419" s="10">
        <f>MAX(
  _xlfn.IFNA(_xlfn.XLOOKUP(B419,'C'!B:B,'C'!E:E),  -1000000000),
  _xlfn.IFNA(_xlfn.XLOOKUP(B419, LW!B:B, LW!E:E), -1000000000),
  _xlfn.IFNA(_xlfn.XLOOKUP(B419, RW!B:B, RW!E:E), -1000000000),
  _xlfn.IFNA(_xlfn.XLOOKUP(B419, D!B:B,  D!E:E),  -1000000000)
)</f>
        <v>-1.2358591453860801</v>
      </c>
    </row>
    <row r="420" spans="2:6" x14ac:dyDescent="0.25">
      <c r="B420" t="s">
        <v>1270</v>
      </c>
      <c r="C420" s="17" t="str">
        <f>VLOOKUP(Table4[[#This Row],[Name]],Table1[[Player]:[Status]],4,FALSE)</f>
        <v>W &lt;small&gt;(Mon)&lt;/small&gt;</v>
      </c>
      <c r="D420" s="17" t="str">
        <f>VLOOKUP(Table4[[#This Row],[Name]],Table1[[Player]:[FP/G]],3,FALSE)</f>
        <v>D</v>
      </c>
      <c r="E420" s="17">
        <f>VLOOKUP(Table4[[#This Row],[Name]],Table1[[Player]:[Age]],5,FALSE)</f>
        <v>29</v>
      </c>
      <c r="F420" s="10">
        <f>MAX(
  _xlfn.IFNA(_xlfn.XLOOKUP(B420,'C'!B:B,'C'!E:E),  -1000000000),
  _xlfn.IFNA(_xlfn.XLOOKUP(B420, LW!B:B, LW!E:E), -1000000000),
  _xlfn.IFNA(_xlfn.XLOOKUP(B420, RW!B:B, RW!E:E), -1000000000),
  _xlfn.IFNA(_xlfn.XLOOKUP(B420, D!B:B,  D!E:E),  -1000000000)
)</f>
        <v>-1.2409550831241603</v>
      </c>
    </row>
    <row r="421" spans="2:6" x14ac:dyDescent="0.25">
      <c r="B421" t="s">
        <v>1100</v>
      </c>
      <c r="C421" s="17" t="str">
        <f>VLOOKUP(Table4[[#This Row],[Name]],Table1[[Player]:[Status]],4,FALSE)</f>
        <v>W &lt;small&gt;(Mon)&lt;/small&gt;</v>
      </c>
      <c r="D421" s="17" t="str">
        <f>VLOOKUP(Table4[[#This Row],[Name]],Table1[[Player]:[FP/G]],3,FALSE)</f>
        <v>D</v>
      </c>
      <c r="E421" s="17">
        <f>VLOOKUP(Table4[[#This Row],[Name]],Table1[[Player]:[Age]],5,FALSE)</f>
        <v>26</v>
      </c>
      <c r="F421" s="10">
        <f>MAX(
  _xlfn.IFNA(_xlfn.XLOOKUP(B421,'C'!B:B,'C'!E:E),  -1000000000),
  _xlfn.IFNA(_xlfn.XLOOKUP(B421, LW!B:B, LW!E:E), -1000000000),
  _xlfn.IFNA(_xlfn.XLOOKUP(B421, RW!B:B, RW!E:E), -1000000000),
  _xlfn.IFNA(_xlfn.XLOOKUP(B421, D!B:B,  D!E:E),  -1000000000)
)</f>
        <v>-1.2417702118622103</v>
      </c>
    </row>
    <row r="422" spans="2:6" x14ac:dyDescent="0.25">
      <c r="B422" t="s">
        <v>654</v>
      </c>
      <c r="C422" s="17" t="str">
        <f>VLOOKUP(Table4[[#This Row],[Name]],Table1[[Player]:[Status]],4,FALSE)</f>
        <v>W &lt;small&gt;(Mon)&lt;/small&gt;</v>
      </c>
      <c r="D422" s="17" t="str">
        <f>VLOOKUP(Table4[[#This Row],[Name]],Table1[[Player]:[FP/G]],3,FALSE)</f>
        <v>LW</v>
      </c>
      <c r="E422" s="17">
        <f>VLOOKUP(Table4[[#This Row],[Name]],Table1[[Player]:[Age]],5,FALSE)</f>
        <v>34</v>
      </c>
      <c r="F422" s="10">
        <f>MAX(
  _xlfn.IFNA(_xlfn.XLOOKUP(B422,'C'!B:B,'C'!E:E),  -1000000000),
  _xlfn.IFNA(_xlfn.XLOOKUP(B422, LW!B:B, LW!E:E), -1000000000),
  _xlfn.IFNA(_xlfn.XLOOKUP(B422, RW!B:B, RW!E:E), -1000000000),
  _xlfn.IFNA(_xlfn.XLOOKUP(B422, D!B:B,  D!E:E),  -1000000000)
)</f>
        <v>-1.2563816251930597</v>
      </c>
    </row>
    <row r="423" spans="2:6" x14ac:dyDescent="0.25">
      <c r="B423" t="s">
        <v>732</v>
      </c>
      <c r="C423" s="17" t="str">
        <f>VLOOKUP(Table4[[#This Row],[Name]],Table1[[Player]:[Status]],4,FALSE)</f>
        <v>Joel</v>
      </c>
      <c r="D423" s="17" t="str">
        <f>VLOOKUP(Table4[[#This Row],[Name]],Table1[[Player]:[FP/G]],3,FALSE)</f>
        <v>C,LW,RW</v>
      </c>
      <c r="E423" s="17">
        <f>VLOOKUP(Table4[[#This Row],[Name]],Table1[[Player]:[Age]],5,FALSE)</f>
        <v>29</v>
      </c>
      <c r="F423" s="10">
        <f>MAX(
  _xlfn.IFNA(_xlfn.XLOOKUP(B423,'C'!B:B,'C'!E:E),  -1000000000),
  _xlfn.IFNA(_xlfn.XLOOKUP(B423, LW!B:B, LW!E:E), -1000000000),
  _xlfn.IFNA(_xlfn.XLOOKUP(B423, RW!B:B, RW!E:E), -1000000000),
  _xlfn.IFNA(_xlfn.XLOOKUP(B423, D!B:B,  D!E:E),  -1000000000)
)</f>
        <v>-1.2574405148656704</v>
      </c>
    </row>
    <row r="424" spans="2:6" x14ac:dyDescent="0.25">
      <c r="B424" t="s">
        <v>1136</v>
      </c>
      <c r="C424" s="17" t="str">
        <f>VLOOKUP(Table4[[#This Row],[Name]],Table1[[Player]:[Status]],4,FALSE)</f>
        <v>W &lt;small&gt;(Mon)&lt;/small&gt;</v>
      </c>
      <c r="D424" s="17" t="str">
        <f>VLOOKUP(Table4[[#This Row],[Name]],Table1[[Player]:[FP/G]],3,FALSE)</f>
        <v>C</v>
      </c>
      <c r="E424" s="17">
        <f>VLOOKUP(Table4[[#This Row],[Name]],Table1[[Player]:[Age]],5,FALSE)</f>
        <v>28</v>
      </c>
      <c r="F424" s="10">
        <f>MAX(
  _xlfn.IFNA(_xlfn.XLOOKUP(B424,'C'!B:B,'C'!E:E),  -1000000000),
  _xlfn.IFNA(_xlfn.XLOOKUP(B424, LW!B:B, LW!E:E), -1000000000),
  _xlfn.IFNA(_xlfn.XLOOKUP(B424, RW!B:B, RW!E:E), -1000000000),
  _xlfn.IFNA(_xlfn.XLOOKUP(B424, D!B:B,  D!E:E),  -1000000000)
)</f>
        <v>-1.2679731896232305</v>
      </c>
    </row>
    <row r="425" spans="2:6" x14ac:dyDescent="0.25">
      <c r="B425" t="s">
        <v>1208</v>
      </c>
      <c r="C425" s="17" t="str">
        <f>VLOOKUP(Table4[[#This Row],[Name]],Table1[[Player]:[Status]],4,FALSE)</f>
        <v>W &lt;small&gt;(Mon)&lt;/small&gt;</v>
      </c>
      <c r="D425" s="17" t="str">
        <f>VLOOKUP(Table4[[#This Row],[Name]],Table1[[Player]:[FP/G]],3,FALSE)</f>
        <v>D</v>
      </c>
      <c r="E425" s="17">
        <f>VLOOKUP(Table4[[#This Row],[Name]],Table1[[Player]:[Age]],5,FALSE)</f>
        <v>27</v>
      </c>
      <c r="F425" s="10">
        <f>MAX(
  _xlfn.IFNA(_xlfn.XLOOKUP(B425,'C'!B:B,'C'!E:E),  -1000000000),
  _xlfn.IFNA(_xlfn.XLOOKUP(B425, LW!B:B, LW!E:E), -1000000000),
  _xlfn.IFNA(_xlfn.XLOOKUP(B425, RW!B:B, RW!E:E), -1000000000),
  _xlfn.IFNA(_xlfn.XLOOKUP(B425, D!B:B,  D!E:E),  -1000000000)
)</f>
        <v>-1.2682181248934803</v>
      </c>
    </row>
    <row r="426" spans="2:6" x14ac:dyDescent="0.25">
      <c r="B426" t="s">
        <v>1341</v>
      </c>
      <c r="C426" s="17" t="str">
        <f>VLOOKUP(Table4[[#This Row],[Name]],Table1[[Player]:[Status]],4,FALSE)</f>
        <v>W &lt;small&gt;(Mon)&lt;/small&gt;</v>
      </c>
      <c r="D426" s="17" t="str">
        <f>VLOOKUP(Table4[[#This Row],[Name]],Table1[[Player]:[FP/G]],3,FALSE)</f>
        <v>D</v>
      </c>
      <c r="E426" s="17">
        <f>VLOOKUP(Table4[[#This Row],[Name]],Table1[[Player]:[Age]],5,FALSE)</f>
        <v>31</v>
      </c>
      <c r="F426" s="10">
        <f>MAX(
  _xlfn.IFNA(_xlfn.XLOOKUP(B426,'C'!B:B,'C'!E:E),  -1000000000),
  _xlfn.IFNA(_xlfn.XLOOKUP(B426, LW!B:B, LW!E:E), -1000000000),
  _xlfn.IFNA(_xlfn.XLOOKUP(B426, RW!B:B, RW!E:E), -1000000000),
  _xlfn.IFNA(_xlfn.XLOOKUP(B426, D!B:B,  D!E:E),  -1000000000)
)</f>
        <v>-1.2702584433650601</v>
      </c>
    </row>
    <row r="427" spans="2:6" x14ac:dyDescent="0.25">
      <c r="B427" t="s">
        <v>1613</v>
      </c>
      <c r="C427" s="17" t="str">
        <f>VLOOKUP(Table4[[#This Row],[Name]],Table1[[Player]:[Status]],4,FALSE)</f>
        <v>W &lt;small&gt;(Mon)&lt;/small&gt;</v>
      </c>
      <c r="D427" s="17" t="str">
        <f>VLOOKUP(Table4[[#This Row],[Name]],Table1[[Player]:[FP/G]],3,FALSE)</f>
        <v>D</v>
      </c>
      <c r="E427" s="17">
        <f>VLOOKUP(Table4[[#This Row],[Name]],Table1[[Player]:[Age]],5,FALSE)</f>
        <v>24</v>
      </c>
      <c r="F427" s="10">
        <f>MAX(
  _xlfn.IFNA(_xlfn.XLOOKUP(B427,'C'!B:B,'C'!E:E),  -1000000000),
  _xlfn.IFNA(_xlfn.XLOOKUP(B427, LW!B:B, LW!E:E), -1000000000),
  _xlfn.IFNA(_xlfn.XLOOKUP(B427, RW!B:B, RW!E:E), -1000000000),
  _xlfn.IFNA(_xlfn.XLOOKUP(B427, D!B:B,  D!E:E),  -1000000000)
)</f>
        <v>-1.2787402218205202</v>
      </c>
    </row>
    <row r="428" spans="2:6" x14ac:dyDescent="0.25">
      <c r="B428" t="s">
        <v>882</v>
      </c>
      <c r="C428" s="17" t="str">
        <f>VLOOKUP(Table4[[#This Row],[Name]],Table1[[Player]:[Status]],4,FALSE)</f>
        <v>W &lt;small&gt;(Mon)&lt;/small&gt;</v>
      </c>
      <c r="D428" s="17" t="str">
        <f>VLOOKUP(Table4[[#This Row],[Name]],Table1[[Player]:[FP/G]],3,FALSE)</f>
        <v>C</v>
      </c>
      <c r="E428" s="17">
        <f>VLOOKUP(Table4[[#This Row],[Name]],Table1[[Player]:[Age]],5,FALSE)</f>
        <v>26</v>
      </c>
      <c r="F428" s="10">
        <f>MAX(
  _xlfn.IFNA(_xlfn.XLOOKUP(B428,'C'!B:B,'C'!E:E),  -1000000000),
  _xlfn.IFNA(_xlfn.XLOOKUP(B428, LW!B:B, LW!E:E), -1000000000),
  _xlfn.IFNA(_xlfn.XLOOKUP(B428, RW!B:B, RW!E:E), -1000000000),
  _xlfn.IFNA(_xlfn.XLOOKUP(B428, D!B:B,  D!E:E),  -1000000000)
)</f>
        <v>-1.3020500659842305</v>
      </c>
    </row>
    <row r="429" spans="2:6" x14ac:dyDescent="0.25">
      <c r="B429" t="s">
        <v>752</v>
      </c>
      <c r="C429" s="17" t="str">
        <f>VLOOKUP(Table4[[#This Row],[Name]],Table1[[Player]:[Status]],4,FALSE)</f>
        <v>W &lt;small&gt;(Mon)&lt;/small&gt;</v>
      </c>
      <c r="D429" s="17" t="str">
        <f>VLOOKUP(Table4[[#This Row],[Name]],Table1[[Player]:[FP/G]],3,FALSE)</f>
        <v>C,RW</v>
      </c>
      <c r="E429" s="17">
        <f>VLOOKUP(Table4[[#This Row],[Name]],Table1[[Player]:[Age]],5,FALSE)</f>
        <v>27</v>
      </c>
      <c r="F429" s="10">
        <f>MAX(
  _xlfn.IFNA(_xlfn.XLOOKUP(B429,'C'!B:B,'C'!E:E),  -1000000000),
  _xlfn.IFNA(_xlfn.XLOOKUP(B429, LW!B:B, LW!E:E), -1000000000),
  _xlfn.IFNA(_xlfn.XLOOKUP(B429, RW!B:B, RW!E:E), -1000000000),
  _xlfn.IFNA(_xlfn.XLOOKUP(B429, D!B:B,  D!E:E),  -1000000000)
)</f>
        <v>-1.3237474144111103</v>
      </c>
    </row>
    <row r="430" spans="2:6" x14ac:dyDescent="0.25">
      <c r="B430" t="s">
        <v>446</v>
      </c>
      <c r="C430" s="17" t="str">
        <f>VLOOKUP(Table4[[#This Row],[Name]],Table1[[Player]:[Status]],4,FALSE)</f>
        <v>W &lt;small&gt;(Mon)&lt;/small&gt;</v>
      </c>
      <c r="D430" s="17" t="str">
        <f>VLOOKUP(Table4[[#This Row],[Name]],Table1[[Player]:[FP/G]],3,FALSE)</f>
        <v>C,LW,RW</v>
      </c>
      <c r="E430" s="17">
        <f>VLOOKUP(Table4[[#This Row],[Name]],Table1[[Player]:[Age]],5,FALSE)</f>
        <v>24</v>
      </c>
      <c r="F430" s="10">
        <f>MAX(
  _xlfn.IFNA(_xlfn.XLOOKUP(B430,'C'!B:B,'C'!E:E),  -1000000000),
  _xlfn.IFNA(_xlfn.XLOOKUP(B430, LW!B:B, LW!E:E), -1000000000),
  _xlfn.IFNA(_xlfn.XLOOKUP(B430, RW!B:B, RW!E:E), -1000000000),
  _xlfn.IFNA(_xlfn.XLOOKUP(B430, D!B:B,  D!E:E),  -1000000000)
)</f>
        <v>-1.3343727933310001</v>
      </c>
    </row>
    <row r="431" spans="2:6" x14ac:dyDescent="0.25">
      <c r="B431" t="s">
        <v>1242</v>
      </c>
      <c r="C431" s="17" t="str">
        <f>VLOOKUP(Table4[[#This Row],[Name]],Table1[[Player]:[Status]],4,FALSE)</f>
        <v>W &lt;small&gt;(Mon)&lt;/small&gt;</v>
      </c>
      <c r="D431" s="17" t="str">
        <f>VLOOKUP(Table4[[#This Row],[Name]],Table1[[Player]:[FP/G]],3,FALSE)</f>
        <v>D</v>
      </c>
      <c r="E431" s="17">
        <f>VLOOKUP(Table4[[#This Row],[Name]],Table1[[Player]:[Age]],5,FALSE)</f>
        <v>27</v>
      </c>
      <c r="F431" s="10">
        <f>MAX(
  _xlfn.IFNA(_xlfn.XLOOKUP(B431,'C'!B:B,'C'!E:E),  -1000000000),
  _xlfn.IFNA(_xlfn.XLOOKUP(B431, LW!B:B, LW!E:E), -1000000000),
  _xlfn.IFNA(_xlfn.XLOOKUP(B431, RW!B:B, RW!E:E), -1000000000),
  _xlfn.IFNA(_xlfn.XLOOKUP(B431, D!B:B,  D!E:E),  -1000000000)
)</f>
        <v>-1.3348907571001403</v>
      </c>
    </row>
    <row r="432" spans="2:6" x14ac:dyDescent="0.25">
      <c r="B432" t="s">
        <v>992</v>
      </c>
      <c r="C432" s="17" t="str">
        <f>VLOOKUP(Table4[[#This Row],[Name]],Table1[[Player]:[Status]],4,FALSE)</f>
        <v>W &lt;small&gt;(Mon)&lt;/small&gt;</v>
      </c>
      <c r="D432" s="17" t="str">
        <f>VLOOKUP(Table4[[#This Row],[Name]],Table1[[Player]:[FP/G]],3,FALSE)</f>
        <v>C,LW</v>
      </c>
      <c r="E432" s="17">
        <f>VLOOKUP(Table4[[#This Row],[Name]],Table1[[Player]:[Age]],5,FALSE)</f>
        <v>27</v>
      </c>
      <c r="F432" s="10">
        <f>MAX(
  _xlfn.IFNA(_xlfn.XLOOKUP(B432,'C'!B:B,'C'!E:E),  -1000000000),
  _xlfn.IFNA(_xlfn.XLOOKUP(B432, LW!B:B, LW!E:E), -1000000000),
  _xlfn.IFNA(_xlfn.XLOOKUP(B432, RW!B:B, RW!E:E), -1000000000),
  _xlfn.IFNA(_xlfn.XLOOKUP(B432, D!B:B,  D!E:E),  -1000000000)
)</f>
        <v>-1.3390811436606205</v>
      </c>
    </row>
    <row r="433" spans="2:6" x14ac:dyDescent="0.25">
      <c r="B433" t="s">
        <v>808</v>
      </c>
      <c r="C433" s="17" t="str">
        <f>VLOOKUP(Table4[[#This Row],[Name]],Table1[[Player]:[Status]],4,FALSE)</f>
        <v>W &lt;small&gt;(Mon)&lt;/small&gt;</v>
      </c>
      <c r="D433" s="17" t="str">
        <f>VLOOKUP(Table4[[#This Row],[Name]],Table1[[Player]:[FP/G]],3,FALSE)</f>
        <v>C</v>
      </c>
      <c r="E433" s="17">
        <f>VLOOKUP(Table4[[#This Row],[Name]],Table1[[Player]:[Age]],5,FALSE)</f>
        <v>26</v>
      </c>
      <c r="F433" s="10">
        <f>MAX(
  _xlfn.IFNA(_xlfn.XLOOKUP(B433,'C'!B:B,'C'!E:E),  -1000000000),
  _xlfn.IFNA(_xlfn.XLOOKUP(B433, LW!B:B, LW!E:E), -1000000000),
  _xlfn.IFNA(_xlfn.XLOOKUP(B433, RW!B:B, RW!E:E), -1000000000),
  _xlfn.IFNA(_xlfn.XLOOKUP(B433, D!B:B,  D!E:E),  -1000000000)
)</f>
        <v>-1.3611889689249104</v>
      </c>
    </row>
    <row r="434" spans="2:6" x14ac:dyDescent="0.25">
      <c r="B434" t="s">
        <v>630</v>
      </c>
      <c r="C434" s="17" t="str">
        <f>VLOOKUP(Table4[[#This Row],[Name]],Table1[[Player]:[Status]],4,FALSE)</f>
        <v>W &lt;small&gt;(Mon)&lt;/small&gt;</v>
      </c>
      <c r="D434" s="17" t="str">
        <f>VLOOKUP(Table4[[#This Row],[Name]],Table1[[Player]:[FP/G]],3,FALSE)</f>
        <v>C,RW</v>
      </c>
      <c r="E434" s="17">
        <f>VLOOKUP(Table4[[#This Row],[Name]],Table1[[Player]:[Age]],5,FALSE)</f>
        <v>28</v>
      </c>
      <c r="F434" s="10">
        <f>MAX(
  _xlfn.IFNA(_xlfn.XLOOKUP(B434,'C'!B:B,'C'!E:E),  -1000000000),
  _xlfn.IFNA(_xlfn.XLOOKUP(B434, LW!B:B, LW!E:E), -1000000000),
  _xlfn.IFNA(_xlfn.XLOOKUP(B434, RW!B:B, RW!E:E), -1000000000),
  _xlfn.IFNA(_xlfn.XLOOKUP(B434, D!B:B,  D!E:E),  -1000000000)
)</f>
        <v>-1.3636859771725205</v>
      </c>
    </row>
    <row r="435" spans="2:6" x14ac:dyDescent="0.25">
      <c r="B435" t="s">
        <v>1002</v>
      </c>
      <c r="C435" s="17" t="str">
        <f>VLOOKUP(Table4[[#This Row],[Name]],Table1[[Player]:[Status]],4,FALSE)</f>
        <v>W &lt;small&gt;(Mon)&lt;/small&gt;</v>
      </c>
      <c r="D435" s="17" t="str">
        <f>VLOOKUP(Table4[[#This Row],[Name]],Table1[[Player]:[FP/G]],3,FALSE)</f>
        <v>D</v>
      </c>
      <c r="E435" s="17">
        <f>VLOOKUP(Table4[[#This Row],[Name]],Table1[[Player]:[Age]],5,FALSE)</f>
        <v>40</v>
      </c>
      <c r="F435" s="10">
        <f>MAX(
  _xlfn.IFNA(_xlfn.XLOOKUP(B435,'C'!B:B,'C'!E:E),  -1000000000),
  _xlfn.IFNA(_xlfn.XLOOKUP(B435, LW!B:B, LW!E:E), -1000000000),
  _xlfn.IFNA(_xlfn.XLOOKUP(B435, RW!B:B, RW!E:E), -1000000000),
  _xlfn.IFNA(_xlfn.XLOOKUP(B435, D!B:B,  D!E:E),  -1000000000)
)</f>
        <v>-1.3703351992277502</v>
      </c>
    </row>
    <row r="436" spans="2:6" x14ac:dyDescent="0.25">
      <c r="B436" t="s">
        <v>472</v>
      </c>
      <c r="C436" s="17" t="str">
        <f>VLOOKUP(Table4[[#This Row],[Name]],Table1[[Player]:[Status]],4,FALSE)</f>
        <v>Shannon</v>
      </c>
      <c r="D436" s="17" t="str">
        <f>VLOOKUP(Table4[[#This Row],[Name]],Table1[[Player]:[FP/G]],3,FALSE)</f>
        <v>LW,RW</v>
      </c>
      <c r="E436" s="17">
        <f>VLOOKUP(Table4[[#This Row],[Name]],Table1[[Player]:[Age]],5,FALSE)</f>
        <v>29</v>
      </c>
      <c r="F436" s="10">
        <f>MAX(
  _xlfn.IFNA(_xlfn.XLOOKUP(B436,'C'!B:B,'C'!E:E),  -1000000000),
  _xlfn.IFNA(_xlfn.XLOOKUP(B436, LW!B:B, LW!E:E), -1000000000),
  _xlfn.IFNA(_xlfn.XLOOKUP(B436, RW!B:B, RW!E:E), -1000000000),
  _xlfn.IFNA(_xlfn.XLOOKUP(B436, D!B:B,  D!E:E),  -1000000000)
)</f>
        <v>-1.3790124590722197</v>
      </c>
    </row>
    <row r="437" spans="2:6" x14ac:dyDescent="0.25">
      <c r="B437" t="s">
        <v>1305</v>
      </c>
      <c r="C437" s="17" t="str">
        <f>VLOOKUP(Table4[[#This Row],[Name]],Table1[[Player]:[Status]],4,FALSE)</f>
        <v>W &lt;small&gt;(Mon)&lt;/small&gt;</v>
      </c>
      <c r="D437" s="17" t="str">
        <f>VLOOKUP(Table4[[#This Row],[Name]],Table1[[Player]:[FP/G]],3,FALSE)</f>
        <v>D</v>
      </c>
      <c r="E437" s="17">
        <f>VLOOKUP(Table4[[#This Row],[Name]],Table1[[Player]:[Age]],5,FALSE)</f>
        <v>27</v>
      </c>
      <c r="F437" s="10">
        <f>MAX(
  _xlfn.IFNA(_xlfn.XLOOKUP(B437,'C'!B:B,'C'!E:E),  -1000000000),
  _xlfn.IFNA(_xlfn.XLOOKUP(B437, LW!B:B, LW!E:E), -1000000000),
  _xlfn.IFNA(_xlfn.XLOOKUP(B437, RW!B:B, RW!E:E), -1000000000),
  _xlfn.IFNA(_xlfn.XLOOKUP(B437, D!B:B,  D!E:E),  -1000000000)
)</f>
        <v>-1.3811275222672101</v>
      </c>
    </row>
    <row r="438" spans="2:6" x14ac:dyDescent="0.25">
      <c r="B438" t="s">
        <v>1084</v>
      </c>
      <c r="C438" s="17" t="str">
        <f>VLOOKUP(Table4[[#This Row],[Name]],Table1[[Player]:[Status]],4,FALSE)</f>
        <v>W &lt;small&gt;(Mon)&lt;/small&gt;</v>
      </c>
      <c r="D438" s="17" t="str">
        <f>VLOOKUP(Table4[[#This Row],[Name]],Table1[[Player]:[FP/G]],3,FALSE)</f>
        <v>D</v>
      </c>
      <c r="E438" s="17">
        <f>VLOOKUP(Table4[[#This Row],[Name]],Table1[[Player]:[Age]],5,FALSE)</f>
        <v>28</v>
      </c>
      <c r="F438" s="10">
        <f>MAX(
  _xlfn.IFNA(_xlfn.XLOOKUP(B438,'C'!B:B,'C'!E:E),  -1000000000),
  _xlfn.IFNA(_xlfn.XLOOKUP(B438, LW!B:B, LW!E:E), -1000000000),
  _xlfn.IFNA(_xlfn.XLOOKUP(B438, RW!B:B, RW!E:E), -1000000000),
  _xlfn.IFNA(_xlfn.XLOOKUP(B438, D!B:B,  D!E:E),  -1000000000)
)</f>
        <v>-1.3873828106694401</v>
      </c>
    </row>
    <row r="439" spans="2:6" x14ac:dyDescent="0.25">
      <c r="B439" t="s">
        <v>688</v>
      </c>
      <c r="C439" s="17" t="str">
        <f>VLOOKUP(Table4[[#This Row],[Name]],Table1[[Player]:[Status]],4,FALSE)</f>
        <v>W &lt;small&gt;(Mon)&lt;/small&gt;</v>
      </c>
      <c r="D439" s="17" t="str">
        <f>VLOOKUP(Table4[[#This Row],[Name]],Table1[[Player]:[FP/G]],3,FALSE)</f>
        <v>LW,RW</v>
      </c>
      <c r="E439" s="17">
        <f>VLOOKUP(Table4[[#This Row],[Name]],Table1[[Player]:[Age]],5,FALSE)</f>
        <v>30</v>
      </c>
      <c r="F439" s="10">
        <f>MAX(
  _xlfn.IFNA(_xlfn.XLOOKUP(B439,'C'!B:B,'C'!E:E),  -1000000000),
  _xlfn.IFNA(_xlfn.XLOOKUP(B439, LW!B:B, LW!E:E), -1000000000),
  _xlfn.IFNA(_xlfn.XLOOKUP(B439, RW!B:B, RW!E:E), -1000000000),
  _xlfn.IFNA(_xlfn.XLOOKUP(B439, D!B:B,  D!E:E),  -1000000000)
)</f>
        <v>-1.4001346116644497</v>
      </c>
    </row>
    <row r="440" spans="2:6" x14ac:dyDescent="0.25">
      <c r="B440" t="s">
        <v>432</v>
      </c>
      <c r="C440" s="17" t="str">
        <f>VLOOKUP(Table4[[#This Row],[Name]],Table1[[Player]:[Status]],4,FALSE)</f>
        <v>W &lt;small&gt;(Mon)&lt;/small&gt;</v>
      </c>
      <c r="D440" s="17" t="str">
        <f>VLOOKUP(Table4[[#This Row],[Name]],Table1[[Player]:[FP/G]],3,FALSE)</f>
        <v>LW,RW</v>
      </c>
      <c r="E440" s="17">
        <f>VLOOKUP(Table4[[#This Row],[Name]],Table1[[Player]:[Age]],5,FALSE)</f>
        <v>30</v>
      </c>
      <c r="F440" s="10">
        <f>MAX(
  _xlfn.IFNA(_xlfn.XLOOKUP(B440,'C'!B:B,'C'!E:E),  -1000000000),
  _xlfn.IFNA(_xlfn.XLOOKUP(B440, LW!B:B, LW!E:E), -1000000000),
  _xlfn.IFNA(_xlfn.XLOOKUP(B440, RW!B:B, RW!E:E), -1000000000),
  _xlfn.IFNA(_xlfn.XLOOKUP(B440, D!B:B,  D!E:E),  -1000000000)
)</f>
        <v>-1.4128150191125997</v>
      </c>
    </row>
    <row r="441" spans="2:6" x14ac:dyDescent="0.25">
      <c r="B441" t="s">
        <v>1200</v>
      </c>
      <c r="C441" s="17" t="str">
        <f>VLOOKUP(Table4[[#This Row],[Name]],Table1[[Player]:[Status]],4,FALSE)</f>
        <v>W &lt;small&gt;(Mon)&lt;/small&gt;</v>
      </c>
      <c r="D441" s="17" t="str">
        <f>VLOOKUP(Table4[[#This Row],[Name]],Table1[[Player]:[FP/G]],3,FALSE)</f>
        <v>D</v>
      </c>
      <c r="E441" s="17">
        <f>VLOOKUP(Table4[[#This Row],[Name]],Table1[[Player]:[Age]],5,FALSE)</f>
        <v>26</v>
      </c>
      <c r="F441" s="10">
        <f>MAX(
  _xlfn.IFNA(_xlfn.XLOOKUP(B441,'C'!B:B,'C'!E:E),  -1000000000),
  _xlfn.IFNA(_xlfn.XLOOKUP(B441, LW!B:B, LW!E:E), -1000000000),
  _xlfn.IFNA(_xlfn.XLOOKUP(B441, RW!B:B, RW!E:E), -1000000000),
  _xlfn.IFNA(_xlfn.XLOOKUP(B441, D!B:B,  D!E:E),  -1000000000)
)</f>
        <v>-1.4193408709975901</v>
      </c>
    </row>
    <row r="442" spans="2:6" x14ac:dyDescent="0.25">
      <c r="B442" t="s">
        <v>1044</v>
      </c>
      <c r="C442" s="17" t="str">
        <f>VLOOKUP(Table4[[#This Row],[Name]],Table1[[Player]:[Status]],4,FALSE)</f>
        <v>W &lt;small&gt;(Mon)&lt;/small&gt;</v>
      </c>
      <c r="D442" s="17" t="str">
        <f>VLOOKUP(Table4[[#This Row],[Name]],Table1[[Player]:[FP/G]],3,FALSE)</f>
        <v>D</v>
      </c>
      <c r="E442" s="17">
        <f>VLOOKUP(Table4[[#This Row],[Name]],Table1[[Player]:[Age]],5,FALSE)</f>
        <v>25</v>
      </c>
      <c r="F442" s="10">
        <f>MAX(
  _xlfn.IFNA(_xlfn.XLOOKUP(B442,'C'!B:B,'C'!E:E),  -1000000000),
  _xlfn.IFNA(_xlfn.XLOOKUP(B442, LW!B:B, LW!E:E), -1000000000),
  _xlfn.IFNA(_xlfn.XLOOKUP(B442, RW!B:B, RW!E:E), -1000000000),
  _xlfn.IFNA(_xlfn.XLOOKUP(B442, D!B:B,  D!E:E),  -1000000000)
)</f>
        <v>-1.4221973616480501</v>
      </c>
    </row>
    <row r="443" spans="2:6" x14ac:dyDescent="0.25">
      <c r="B443" t="s">
        <v>760</v>
      </c>
      <c r="C443" s="17" t="str">
        <f>VLOOKUP(Table4[[#This Row],[Name]],Table1[[Player]:[Status]],4,FALSE)</f>
        <v>W &lt;small&gt;(Mon)&lt;/small&gt;</v>
      </c>
      <c r="D443" s="17" t="str">
        <f>VLOOKUP(Table4[[#This Row],[Name]],Table1[[Player]:[FP/G]],3,FALSE)</f>
        <v>C,RW</v>
      </c>
      <c r="E443" s="17">
        <f>VLOOKUP(Table4[[#This Row],[Name]],Table1[[Player]:[Age]],5,FALSE)</f>
        <v>32</v>
      </c>
      <c r="F443" s="10">
        <f>MAX(
  _xlfn.IFNA(_xlfn.XLOOKUP(B443,'C'!B:B,'C'!E:E),  -1000000000),
  _xlfn.IFNA(_xlfn.XLOOKUP(B443, LW!B:B, LW!E:E), -1000000000),
  _xlfn.IFNA(_xlfn.XLOOKUP(B443, RW!B:B, RW!E:E), -1000000000),
  _xlfn.IFNA(_xlfn.XLOOKUP(B443, D!B:B,  D!E:E),  -1000000000)
)</f>
        <v>-1.4279780310027803</v>
      </c>
    </row>
    <row r="444" spans="2:6" x14ac:dyDescent="0.25">
      <c r="B444" t="s">
        <v>672</v>
      </c>
      <c r="C444" s="17" t="str">
        <f>VLOOKUP(Table4[[#This Row],[Name]],Table1[[Player]:[Status]],4,FALSE)</f>
        <v>W &lt;small&gt;(Mon)&lt;/small&gt;</v>
      </c>
      <c r="D444" s="17" t="str">
        <f>VLOOKUP(Table4[[#This Row],[Name]],Table1[[Player]:[FP/G]],3,FALSE)</f>
        <v>LW,RW</v>
      </c>
      <c r="E444" s="17">
        <f>VLOOKUP(Table4[[#This Row],[Name]],Table1[[Player]:[Age]],5,FALSE)</f>
        <v>30</v>
      </c>
      <c r="F444" s="10">
        <f>MAX(
  _xlfn.IFNA(_xlfn.XLOOKUP(B444,'C'!B:B,'C'!E:E),  -1000000000),
  _xlfn.IFNA(_xlfn.XLOOKUP(B444, LW!B:B, LW!E:E), -1000000000),
  _xlfn.IFNA(_xlfn.XLOOKUP(B444, RW!B:B, RW!E:E), -1000000000),
  _xlfn.IFNA(_xlfn.XLOOKUP(B444, D!B:B,  D!E:E),  -1000000000)
)</f>
        <v>-1.4319982474625097</v>
      </c>
    </row>
    <row r="445" spans="2:6" x14ac:dyDescent="0.25">
      <c r="B445" t="s">
        <v>714</v>
      </c>
      <c r="C445" s="17" t="str">
        <f>VLOOKUP(Table4[[#This Row],[Name]],Table1[[Player]:[Status]],4,FALSE)</f>
        <v>W &lt;small&gt;(Mon)&lt;/small&gt;</v>
      </c>
      <c r="D445" s="17" t="str">
        <f>VLOOKUP(Table4[[#This Row],[Name]],Table1[[Player]:[FP/G]],3,FALSE)</f>
        <v>LW,RW</v>
      </c>
      <c r="E445" s="17">
        <f>VLOOKUP(Table4[[#This Row],[Name]],Table1[[Player]:[Age]],5,FALSE)</f>
        <v>31</v>
      </c>
      <c r="F445" s="10">
        <f>MAX(
  _xlfn.IFNA(_xlfn.XLOOKUP(B445,'C'!B:B,'C'!E:E),  -1000000000),
  _xlfn.IFNA(_xlfn.XLOOKUP(B445, LW!B:B, LW!E:E), -1000000000),
  _xlfn.IFNA(_xlfn.XLOOKUP(B445, RW!B:B, RW!E:E), -1000000000),
  _xlfn.IFNA(_xlfn.XLOOKUP(B445, D!B:B,  D!E:E),  -1000000000)
)</f>
        <v>-1.45180014236576</v>
      </c>
    </row>
    <row r="446" spans="2:6" x14ac:dyDescent="0.25">
      <c r="B446" t="s">
        <v>1196</v>
      </c>
      <c r="C446" s="17" t="str">
        <f>VLOOKUP(Table4[[#This Row],[Name]],Table1[[Player]:[Status]],4,FALSE)</f>
        <v>W &lt;small&gt;(Mon)&lt;/small&gt;</v>
      </c>
      <c r="D446" s="17" t="str">
        <f>VLOOKUP(Table4[[#This Row],[Name]],Table1[[Player]:[FP/G]],3,FALSE)</f>
        <v>D</v>
      </c>
      <c r="E446" s="17">
        <f>VLOOKUP(Table4[[#This Row],[Name]],Table1[[Player]:[Age]],5,FALSE)</f>
        <v>24</v>
      </c>
      <c r="F446" s="10">
        <f>MAX(
  _xlfn.IFNA(_xlfn.XLOOKUP(B446,'C'!B:B,'C'!E:E),  -1000000000),
  _xlfn.IFNA(_xlfn.XLOOKUP(B446, LW!B:B, LW!E:E), -1000000000),
  _xlfn.IFNA(_xlfn.XLOOKUP(B446, RW!B:B, RW!E:E), -1000000000),
  _xlfn.IFNA(_xlfn.XLOOKUP(B446, D!B:B,  D!E:E),  -1000000000)
)</f>
        <v>-1.4600131653749802</v>
      </c>
    </row>
    <row r="447" spans="2:6" x14ac:dyDescent="0.25">
      <c r="B447" t="s">
        <v>964</v>
      </c>
      <c r="C447" s="17" t="str">
        <f>VLOOKUP(Table4[[#This Row],[Name]],Table1[[Player]:[Status]],4,FALSE)</f>
        <v>W &lt;small&gt;(Mon)&lt;/small&gt;</v>
      </c>
      <c r="D447" s="17" t="str">
        <f>VLOOKUP(Table4[[#This Row],[Name]],Table1[[Player]:[FP/G]],3,FALSE)</f>
        <v>D</v>
      </c>
      <c r="E447" s="17">
        <f>VLOOKUP(Table4[[#This Row],[Name]],Table1[[Player]:[Age]],5,FALSE)</f>
        <v>35</v>
      </c>
      <c r="F447" s="10">
        <f>MAX(
  _xlfn.IFNA(_xlfn.XLOOKUP(B447,'C'!B:B,'C'!E:E),  -1000000000),
  _xlfn.IFNA(_xlfn.XLOOKUP(B447, LW!B:B, LW!E:E), -1000000000),
  _xlfn.IFNA(_xlfn.XLOOKUP(B447, RW!B:B, RW!E:E), -1000000000),
  _xlfn.IFNA(_xlfn.XLOOKUP(B447, D!B:B,  D!E:E),  -1000000000)
)</f>
        <v>-1.4782590696926803</v>
      </c>
    </row>
    <row r="448" spans="2:6" x14ac:dyDescent="0.25">
      <c r="B448" t="s">
        <v>1594</v>
      </c>
      <c r="C448" s="17" t="str">
        <f>VLOOKUP(Table4[[#This Row],[Name]],Table1[[Player]:[Status]],4,FALSE)</f>
        <v>W &lt;small&gt;(Mon)&lt;/small&gt;</v>
      </c>
      <c r="D448" s="17" t="str">
        <f>VLOOKUP(Table4[[#This Row],[Name]],Table1[[Player]:[FP/G]],3,FALSE)</f>
        <v>LW,RW</v>
      </c>
      <c r="E448" s="17">
        <f>VLOOKUP(Table4[[#This Row],[Name]],Table1[[Player]:[Age]],5,FALSE)</f>
        <v>24</v>
      </c>
      <c r="F448" s="10">
        <f>MAX(
  _xlfn.IFNA(_xlfn.XLOOKUP(B448,'C'!B:B,'C'!E:E),  -1000000000),
  _xlfn.IFNA(_xlfn.XLOOKUP(B448, LW!B:B, LW!E:E), -1000000000),
  _xlfn.IFNA(_xlfn.XLOOKUP(B448, RW!B:B, RW!E:E), -1000000000),
  _xlfn.IFNA(_xlfn.XLOOKUP(B448, D!B:B,  D!E:E),  -1000000000)
)</f>
        <v>-1.4937253990684898</v>
      </c>
    </row>
    <row r="449" spans="2:6" x14ac:dyDescent="0.25">
      <c r="B449" t="s">
        <v>462</v>
      </c>
      <c r="C449" s="17" t="str">
        <f>VLOOKUP(Table4[[#This Row],[Name]],Table1[[Player]:[Status]],4,FALSE)</f>
        <v>W &lt;small&gt;(Mon)&lt;/small&gt;</v>
      </c>
      <c r="D449" s="17" t="str">
        <f>VLOOKUP(Table4[[#This Row],[Name]],Table1[[Player]:[FP/G]],3,FALSE)</f>
        <v>LW</v>
      </c>
      <c r="E449" s="17">
        <f>VLOOKUP(Table4[[#This Row],[Name]],Table1[[Player]:[Age]],5,FALSE)</f>
        <v>29</v>
      </c>
      <c r="F449" s="10">
        <f>MAX(
  _xlfn.IFNA(_xlfn.XLOOKUP(B449,'C'!B:B,'C'!E:E),  -1000000000),
  _xlfn.IFNA(_xlfn.XLOOKUP(B449, LW!B:B, LW!E:E), -1000000000),
  _xlfn.IFNA(_xlfn.XLOOKUP(B449, RW!B:B, RW!E:E), -1000000000),
  _xlfn.IFNA(_xlfn.XLOOKUP(B449, D!B:B,  D!E:E),  -1000000000)
)</f>
        <v>-1.5062641519186997</v>
      </c>
    </row>
    <row r="450" spans="2:6" x14ac:dyDescent="0.25">
      <c r="B450" t="s">
        <v>1290</v>
      </c>
      <c r="C450" s="17" t="str">
        <f>VLOOKUP(Table4[[#This Row],[Name]],Table1[[Player]:[Status]],4,FALSE)</f>
        <v>W &lt;small&gt;(Mon)&lt;/small&gt;</v>
      </c>
      <c r="D450" s="17" t="str">
        <f>VLOOKUP(Table4[[#This Row],[Name]],Table1[[Player]:[FP/G]],3,FALSE)</f>
        <v>D</v>
      </c>
      <c r="E450" s="17">
        <f>VLOOKUP(Table4[[#This Row],[Name]],Table1[[Player]:[Age]],5,FALSE)</f>
        <v>30</v>
      </c>
      <c r="F450" s="10">
        <f>MAX(
  _xlfn.IFNA(_xlfn.XLOOKUP(B450,'C'!B:B,'C'!E:E),  -1000000000),
  _xlfn.IFNA(_xlfn.XLOOKUP(B450, LW!B:B, LW!E:E), -1000000000),
  _xlfn.IFNA(_xlfn.XLOOKUP(B450, RW!B:B, RW!E:E), -1000000000),
  _xlfn.IFNA(_xlfn.XLOOKUP(B450, D!B:B,  D!E:E),  -1000000000)
)</f>
        <v>-1.5075465505342702</v>
      </c>
    </row>
    <row r="451" spans="2:6" x14ac:dyDescent="0.25">
      <c r="B451" t="s">
        <v>1624</v>
      </c>
      <c r="C451" s="17" t="str">
        <f>VLOOKUP(Table4[[#This Row],[Name]],Table1[[Player]:[Status]],4,FALSE)</f>
        <v>W &lt;small&gt;(Mon)&lt;/small&gt;</v>
      </c>
      <c r="D451" s="17" t="str">
        <f>VLOOKUP(Table4[[#This Row],[Name]],Table1[[Player]:[FP/G]],3,FALSE)</f>
        <v>D</v>
      </c>
      <c r="E451" s="17">
        <f>VLOOKUP(Table4[[#This Row],[Name]],Table1[[Player]:[Age]],5,FALSE)</f>
        <v>28</v>
      </c>
      <c r="F451" s="10">
        <f>MAX(
  _xlfn.IFNA(_xlfn.XLOOKUP(B451,'C'!B:B,'C'!E:E),  -1000000000),
  _xlfn.IFNA(_xlfn.XLOOKUP(B451, LW!B:B, LW!E:E), -1000000000),
  _xlfn.IFNA(_xlfn.XLOOKUP(B451, RW!B:B, RW!E:E), -1000000000),
  _xlfn.IFNA(_xlfn.XLOOKUP(B451, D!B:B,  D!E:E),  -1000000000)
)</f>
        <v>-1.5125735301400403</v>
      </c>
    </row>
    <row r="452" spans="2:6" x14ac:dyDescent="0.25">
      <c r="B452" t="s">
        <v>1016</v>
      </c>
      <c r="C452" s="17" t="str">
        <f>VLOOKUP(Table4[[#This Row],[Name]],Table1[[Player]:[Status]],4,FALSE)</f>
        <v>W &lt;small&gt;(Mon)&lt;/small&gt;</v>
      </c>
      <c r="D452" s="17" t="str">
        <f>VLOOKUP(Table4[[#This Row],[Name]],Table1[[Player]:[FP/G]],3,FALSE)</f>
        <v>D</v>
      </c>
      <c r="E452" s="17">
        <f>VLOOKUP(Table4[[#This Row],[Name]],Table1[[Player]:[Age]],5,FALSE)</f>
        <v>31</v>
      </c>
      <c r="F452" s="10">
        <f>MAX(
  _xlfn.IFNA(_xlfn.XLOOKUP(B452,'C'!B:B,'C'!E:E),  -1000000000),
  _xlfn.IFNA(_xlfn.XLOOKUP(B452, LW!B:B, LW!E:E), -1000000000),
  _xlfn.IFNA(_xlfn.XLOOKUP(B452, RW!B:B, RW!E:E), -1000000000),
  _xlfn.IFNA(_xlfn.XLOOKUP(B452, D!B:B,  D!E:E),  -1000000000)
)</f>
        <v>-1.5498457037799103</v>
      </c>
    </row>
    <row r="453" spans="2:6" x14ac:dyDescent="0.25">
      <c r="B453" t="s">
        <v>842</v>
      </c>
      <c r="C453" s="17" t="str">
        <f>VLOOKUP(Table4[[#This Row],[Name]],Table1[[Player]:[Status]],4,FALSE)</f>
        <v>W &lt;small&gt;(Mon)&lt;/small&gt;</v>
      </c>
      <c r="D453" s="17" t="str">
        <f>VLOOKUP(Table4[[#This Row],[Name]],Table1[[Player]:[FP/G]],3,FALSE)</f>
        <v>C</v>
      </c>
      <c r="E453" s="17">
        <f>VLOOKUP(Table4[[#This Row],[Name]],Table1[[Player]:[Age]],5,FALSE)</f>
        <v>30</v>
      </c>
      <c r="F453" s="10">
        <f>MAX(
  _xlfn.IFNA(_xlfn.XLOOKUP(B453,'C'!B:B,'C'!E:E),  -1000000000),
  _xlfn.IFNA(_xlfn.XLOOKUP(B453, LW!B:B, LW!E:E), -1000000000),
  _xlfn.IFNA(_xlfn.XLOOKUP(B453, RW!B:B, RW!E:E), -1000000000),
  _xlfn.IFNA(_xlfn.XLOOKUP(B453, D!B:B,  D!E:E),  -1000000000)
)</f>
        <v>-1.5513628247984204</v>
      </c>
    </row>
    <row r="454" spans="2:6" x14ac:dyDescent="0.25">
      <c r="B454" t="s">
        <v>1054</v>
      </c>
      <c r="C454" s="17" t="str">
        <f>VLOOKUP(Table4[[#This Row],[Name]],Table1[[Player]:[Status]],4,FALSE)</f>
        <v>W &lt;small&gt;(Mon)&lt;/small&gt;</v>
      </c>
      <c r="D454" s="17" t="str">
        <f>VLOOKUP(Table4[[#This Row],[Name]],Table1[[Player]:[FP/G]],3,FALSE)</f>
        <v>C,LW</v>
      </c>
      <c r="E454" s="17">
        <f>VLOOKUP(Table4[[#This Row],[Name]],Table1[[Player]:[Age]],5,FALSE)</f>
        <v>26</v>
      </c>
      <c r="F454" s="10">
        <f>MAX(
  _xlfn.IFNA(_xlfn.XLOOKUP(B454,'C'!B:B,'C'!E:E),  -1000000000),
  _xlfn.IFNA(_xlfn.XLOOKUP(B454, LW!B:B, LW!E:E), -1000000000),
  _xlfn.IFNA(_xlfn.XLOOKUP(B454, RW!B:B, RW!E:E), -1000000000),
  _xlfn.IFNA(_xlfn.XLOOKUP(B454, D!B:B,  D!E:E),  -1000000000)
)</f>
        <v>-1.5514555896748301</v>
      </c>
    </row>
    <row r="455" spans="2:6" x14ac:dyDescent="0.25">
      <c r="B455" t="s">
        <v>730</v>
      </c>
      <c r="C455" s="17" t="str">
        <f>VLOOKUP(Table4[[#This Row],[Name]],Table1[[Player]:[Status]],4,FALSE)</f>
        <v>W &lt;small&gt;(Mon)&lt;/small&gt;</v>
      </c>
      <c r="D455" s="17" t="str">
        <f>VLOOKUP(Table4[[#This Row],[Name]],Table1[[Player]:[FP/G]],3,FALSE)</f>
        <v>RW</v>
      </c>
      <c r="E455" s="17">
        <f>VLOOKUP(Table4[[#This Row],[Name]],Table1[[Player]:[Age]],5,FALSE)</f>
        <v>28</v>
      </c>
      <c r="F455" s="10">
        <f>MAX(
  _xlfn.IFNA(_xlfn.XLOOKUP(B455,'C'!B:B,'C'!E:E),  -1000000000),
  _xlfn.IFNA(_xlfn.XLOOKUP(B455, LW!B:B, LW!E:E), -1000000000),
  _xlfn.IFNA(_xlfn.XLOOKUP(B455, RW!B:B, RW!E:E), -1000000000),
  _xlfn.IFNA(_xlfn.XLOOKUP(B455, D!B:B,  D!E:E),  -1000000000)
)</f>
        <v>-1.5554160684804899</v>
      </c>
    </row>
    <row r="456" spans="2:6" x14ac:dyDescent="0.25">
      <c r="B456" t="s">
        <v>1329</v>
      </c>
      <c r="C456" s="17" t="str">
        <f>VLOOKUP(Table4[[#This Row],[Name]],Table1[[Player]:[Status]],4,FALSE)</f>
        <v>W &lt;small&gt;(Mon)&lt;/small&gt;</v>
      </c>
      <c r="D456" s="17" t="str">
        <f>VLOOKUP(Table4[[#This Row],[Name]],Table1[[Player]:[FP/G]],3,FALSE)</f>
        <v>D</v>
      </c>
      <c r="E456" s="17">
        <f>VLOOKUP(Table4[[#This Row],[Name]],Table1[[Player]:[Age]],5,FALSE)</f>
        <v>33</v>
      </c>
      <c r="F456" s="10">
        <f>MAX(
  _xlfn.IFNA(_xlfn.XLOOKUP(B456,'C'!B:B,'C'!E:E),  -1000000000),
  _xlfn.IFNA(_xlfn.XLOOKUP(B456, LW!B:B, LW!E:E), -1000000000),
  _xlfn.IFNA(_xlfn.XLOOKUP(B456, RW!B:B, RW!E:E), -1000000000),
  _xlfn.IFNA(_xlfn.XLOOKUP(B456, D!B:B,  D!E:E),  -1000000000)
)</f>
        <v>-1.5639692467120101</v>
      </c>
    </row>
    <row r="457" spans="2:6" x14ac:dyDescent="0.25">
      <c r="B457" t="s">
        <v>806</v>
      </c>
      <c r="C457" s="17" t="str">
        <f>VLOOKUP(Table4[[#This Row],[Name]],Table1[[Player]:[Status]],4,FALSE)</f>
        <v>W &lt;small&gt;(Mon)&lt;/small&gt;</v>
      </c>
      <c r="D457" s="17" t="str">
        <f>VLOOKUP(Table4[[#This Row],[Name]],Table1[[Player]:[FP/G]],3,FALSE)</f>
        <v>LW</v>
      </c>
      <c r="E457" s="17">
        <f>VLOOKUP(Table4[[#This Row],[Name]],Table1[[Player]:[Age]],5,FALSE)</f>
        <v>25</v>
      </c>
      <c r="F457" s="10">
        <f>MAX(
  _xlfn.IFNA(_xlfn.XLOOKUP(B457,'C'!B:B,'C'!E:E),  -1000000000),
  _xlfn.IFNA(_xlfn.XLOOKUP(B457, LW!B:B, LW!E:E), -1000000000),
  _xlfn.IFNA(_xlfn.XLOOKUP(B457, RW!B:B, RW!E:E), -1000000000),
  _xlfn.IFNA(_xlfn.XLOOKUP(B457, D!B:B,  D!E:E),  -1000000000)
)</f>
        <v>-1.5683913712673299</v>
      </c>
    </row>
    <row r="458" spans="2:6" x14ac:dyDescent="0.25">
      <c r="B458" t="s">
        <v>830</v>
      </c>
      <c r="C458" s="17" t="str">
        <f>VLOOKUP(Table4[[#This Row],[Name]],Table1[[Player]:[Status]],4,FALSE)</f>
        <v>W &lt;small&gt;(Mon)&lt;/small&gt;</v>
      </c>
      <c r="D458" s="17" t="str">
        <f>VLOOKUP(Table4[[#This Row],[Name]],Table1[[Player]:[FP/G]],3,FALSE)</f>
        <v>C,RW</v>
      </c>
      <c r="E458" s="17">
        <f>VLOOKUP(Table4[[#This Row],[Name]],Table1[[Player]:[Age]],5,FALSE)</f>
        <v>24</v>
      </c>
      <c r="F458" s="10">
        <f>MAX(
  _xlfn.IFNA(_xlfn.XLOOKUP(B458,'C'!B:B,'C'!E:E),  -1000000000),
  _xlfn.IFNA(_xlfn.XLOOKUP(B458, LW!B:B, LW!E:E), -1000000000),
  _xlfn.IFNA(_xlfn.XLOOKUP(B458, RW!B:B, RW!E:E), -1000000000),
  _xlfn.IFNA(_xlfn.XLOOKUP(B458, D!B:B,  D!E:E),  -1000000000)
)</f>
        <v>-1.5696027914619504</v>
      </c>
    </row>
    <row r="459" spans="2:6" x14ac:dyDescent="0.25">
      <c r="B459" t="s">
        <v>1062</v>
      </c>
      <c r="C459" s="17" t="str">
        <f>VLOOKUP(Table4[[#This Row],[Name]],Table1[[Player]:[Status]],4,FALSE)</f>
        <v>W &lt;small&gt;(Mon)&lt;/small&gt;</v>
      </c>
      <c r="D459" s="17" t="str">
        <f>VLOOKUP(Table4[[#This Row],[Name]],Table1[[Player]:[FP/G]],3,FALSE)</f>
        <v>D</v>
      </c>
      <c r="E459" s="17">
        <f>VLOOKUP(Table4[[#This Row],[Name]],Table1[[Player]:[Age]],5,FALSE)</f>
        <v>35</v>
      </c>
      <c r="F459" s="10">
        <f>MAX(
  _xlfn.IFNA(_xlfn.XLOOKUP(B459,'C'!B:B,'C'!E:E),  -1000000000),
  _xlfn.IFNA(_xlfn.XLOOKUP(B459, LW!B:B, LW!E:E), -1000000000),
  _xlfn.IFNA(_xlfn.XLOOKUP(B459, RW!B:B, RW!E:E), -1000000000),
  _xlfn.IFNA(_xlfn.XLOOKUP(B459, D!B:B,  D!E:E),  -1000000000)
)</f>
        <v>-1.5775917481844601</v>
      </c>
    </row>
    <row r="460" spans="2:6" x14ac:dyDescent="0.25">
      <c r="B460" t="s">
        <v>1635</v>
      </c>
      <c r="C460" s="17" t="str">
        <f>VLOOKUP(Table4[[#This Row],[Name]],Table1[[Player]:[Status]],4,FALSE)</f>
        <v>W &lt;small&gt;(Mon)&lt;/small&gt;</v>
      </c>
      <c r="D460" s="17" t="str">
        <f>VLOOKUP(Table4[[#This Row],[Name]],Table1[[Player]:[FP/G]],3,FALSE)</f>
        <v>D</v>
      </c>
      <c r="E460" s="17">
        <f>VLOOKUP(Table4[[#This Row],[Name]],Table1[[Player]:[Age]],5,FALSE)</f>
        <v>25</v>
      </c>
      <c r="F460" s="10">
        <f>MAX(
  _xlfn.IFNA(_xlfn.XLOOKUP(B460,'C'!B:B,'C'!E:E),  -1000000000),
  _xlfn.IFNA(_xlfn.XLOOKUP(B460, LW!B:B, LW!E:E), -1000000000),
  _xlfn.IFNA(_xlfn.XLOOKUP(B460, RW!B:B, RW!E:E), -1000000000),
  _xlfn.IFNA(_xlfn.XLOOKUP(B460, D!B:B,  D!E:E),  -1000000000)
)</f>
        <v>-1.5896184439338401</v>
      </c>
    </row>
    <row r="461" spans="2:6" x14ac:dyDescent="0.25">
      <c r="B461" t="s">
        <v>636</v>
      </c>
      <c r="C461" s="17" t="str">
        <f>VLOOKUP(Table4[[#This Row],[Name]],Table1[[Player]:[Status]],4,FALSE)</f>
        <v>W &lt;small&gt;(Mon)&lt;/small&gt;</v>
      </c>
      <c r="D461" s="17" t="str">
        <f>VLOOKUP(Table4[[#This Row],[Name]],Table1[[Player]:[FP/G]],3,FALSE)</f>
        <v>C,LW</v>
      </c>
      <c r="E461" s="17">
        <f>VLOOKUP(Table4[[#This Row],[Name]],Table1[[Player]:[Age]],5,FALSE)</f>
        <v>33</v>
      </c>
      <c r="F461" s="10">
        <f>MAX(
  _xlfn.IFNA(_xlfn.XLOOKUP(B461,'C'!B:B,'C'!E:E),  -1000000000),
  _xlfn.IFNA(_xlfn.XLOOKUP(B461, LW!B:B, LW!E:E), -1000000000),
  _xlfn.IFNA(_xlfn.XLOOKUP(B461, RW!B:B, RW!E:E), -1000000000),
  _xlfn.IFNA(_xlfn.XLOOKUP(B461, D!B:B,  D!E:E),  -1000000000)
)</f>
        <v>-1.5953719306659604</v>
      </c>
    </row>
    <row r="462" spans="2:6" x14ac:dyDescent="0.25">
      <c r="B462" t="s">
        <v>1614</v>
      </c>
      <c r="C462" s="17" t="str">
        <f>VLOOKUP(Table4[[#This Row],[Name]],Table1[[Player]:[Status]],4,FALSE)</f>
        <v>W &lt;small&gt;(Mon)&lt;/small&gt;</v>
      </c>
      <c r="D462" s="17" t="str">
        <f>VLOOKUP(Table4[[#This Row],[Name]],Table1[[Player]:[FP/G]],3,FALSE)</f>
        <v>LW,RW</v>
      </c>
      <c r="E462" s="17">
        <f>VLOOKUP(Table4[[#This Row],[Name]],Table1[[Player]:[Age]],5,FALSE)</f>
        <v>24</v>
      </c>
      <c r="F462" s="10">
        <f>MAX(
  _xlfn.IFNA(_xlfn.XLOOKUP(B462,'C'!B:B,'C'!E:E),  -1000000000),
  _xlfn.IFNA(_xlfn.XLOOKUP(B462, LW!B:B, LW!E:E), -1000000000),
  _xlfn.IFNA(_xlfn.XLOOKUP(B462, RW!B:B, RW!E:E), -1000000000),
  _xlfn.IFNA(_xlfn.XLOOKUP(B462, D!B:B,  D!E:E),  -1000000000)
)</f>
        <v>-1.5957142297651798</v>
      </c>
    </row>
    <row r="463" spans="2:6" x14ac:dyDescent="0.25">
      <c r="B463" t="s">
        <v>650</v>
      </c>
      <c r="C463" s="17" t="str">
        <f>VLOOKUP(Table4[[#This Row],[Name]],Table1[[Player]:[Status]],4,FALSE)</f>
        <v>W &lt;small&gt;(Mon)&lt;/small&gt;</v>
      </c>
      <c r="D463" s="17" t="str">
        <f>VLOOKUP(Table4[[#This Row],[Name]],Table1[[Player]:[FP/G]],3,FALSE)</f>
        <v>LW,RW</v>
      </c>
      <c r="E463" s="17">
        <f>VLOOKUP(Table4[[#This Row],[Name]],Table1[[Player]:[Age]],5,FALSE)</f>
        <v>30</v>
      </c>
      <c r="F463" s="10">
        <f>MAX(
  _xlfn.IFNA(_xlfn.XLOOKUP(B463,'C'!B:B,'C'!E:E),  -1000000000),
  _xlfn.IFNA(_xlfn.XLOOKUP(B463, LW!B:B, LW!E:E), -1000000000),
  _xlfn.IFNA(_xlfn.XLOOKUP(B463, RW!B:B, RW!E:E), -1000000000),
  _xlfn.IFNA(_xlfn.XLOOKUP(B463, D!B:B,  D!E:E),  -1000000000)
)</f>
        <v>-1.6044728452774897</v>
      </c>
    </row>
    <row r="464" spans="2:6" x14ac:dyDescent="0.25">
      <c r="B464" t="s">
        <v>1206</v>
      </c>
      <c r="C464" s="17" t="str">
        <f>VLOOKUP(Table4[[#This Row],[Name]],Table1[[Player]:[Status]],4,FALSE)</f>
        <v>W &lt;small&gt;(Mon)&lt;/small&gt;</v>
      </c>
      <c r="D464" s="17" t="str">
        <f>VLOOKUP(Table4[[#This Row],[Name]],Table1[[Player]:[FP/G]],3,FALSE)</f>
        <v>D</v>
      </c>
      <c r="E464" s="17">
        <f>VLOOKUP(Table4[[#This Row],[Name]],Table1[[Player]:[Age]],5,FALSE)</f>
        <v>32</v>
      </c>
      <c r="F464" s="10">
        <f>MAX(
  _xlfn.IFNA(_xlfn.XLOOKUP(B464,'C'!B:B,'C'!E:E),  -1000000000),
  _xlfn.IFNA(_xlfn.XLOOKUP(B464, LW!B:B, LW!E:E), -1000000000),
  _xlfn.IFNA(_xlfn.XLOOKUP(B464, RW!B:B, RW!E:E), -1000000000),
  _xlfn.IFNA(_xlfn.XLOOKUP(B464, D!B:B,  D!E:E),  -1000000000)
)</f>
        <v>-1.6100630586409901</v>
      </c>
    </row>
    <row r="465" spans="2:6" x14ac:dyDescent="0.25">
      <c r="B465" t="s">
        <v>1160</v>
      </c>
      <c r="C465" s="17" t="str">
        <f>VLOOKUP(Table4[[#This Row],[Name]],Table1[[Player]:[Status]],4,FALSE)</f>
        <v>W &lt;small&gt;(Mon)&lt;/small&gt;</v>
      </c>
      <c r="D465" s="17" t="str">
        <f>VLOOKUP(Table4[[#This Row],[Name]],Table1[[Player]:[FP/G]],3,FALSE)</f>
        <v>D</v>
      </c>
      <c r="E465" s="17">
        <f>VLOOKUP(Table4[[#This Row],[Name]],Table1[[Player]:[Age]],5,FALSE)</f>
        <v>28</v>
      </c>
      <c r="F465" s="10">
        <f>MAX(
  _xlfn.IFNA(_xlfn.XLOOKUP(B465,'C'!B:B,'C'!E:E),  -1000000000),
  _xlfn.IFNA(_xlfn.XLOOKUP(B465, LW!B:B, LW!E:E), -1000000000),
  _xlfn.IFNA(_xlfn.XLOOKUP(B465, RW!B:B, RW!E:E), -1000000000),
  _xlfn.IFNA(_xlfn.XLOOKUP(B465, D!B:B,  D!E:E),  -1000000000)
)</f>
        <v>-1.6164808671434101</v>
      </c>
    </row>
    <row r="466" spans="2:6" x14ac:dyDescent="0.25">
      <c r="B466" t="s">
        <v>720</v>
      </c>
      <c r="C466" s="17" t="str">
        <f>VLOOKUP(Table4[[#This Row],[Name]],Table1[[Player]:[Status]],4,FALSE)</f>
        <v>W &lt;small&gt;(Mon)&lt;/small&gt;</v>
      </c>
      <c r="D466" s="17" t="str">
        <f>VLOOKUP(Table4[[#This Row],[Name]],Table1[[Player]:[FP/G]],3,FALSE)</f>
        <v>LW,RW</v>
      </c>
      <c r="E466" s="17">
        <f>VLOOKUP(Table4[[#This Row],[Name]],Table1[[Player]:[Age]],5,FALSE)</f>
        <v>28</v>
      </c>
      <c r="F466" s="10">
        <f>MAX(
  _xlfn.IFNA(_xlfn.XLOOKUP(B466,'C'!B:B,'C'!E:E),  -1000000000),
  _xlfn.IFNA(_xlfn.XLOOKUP(B466, LW!B:B, LW!E:E), -1000000000),
  _xlfn.IFNA(_xlfn.XLOOKUP(B466, RW!B:B, RW!E:E), -1000000000),
  _xlfn.IFNA(_xlfn.XLOOKUP(B466, D!B:B,  D!E:E),  -1000000000)
)</f>
        <v>-1.62543978449497</v>
      </c>
    </row>
    <row r="467" spans="2:6" x14ac:dyDescent="0.25">
      <c r="B467" t="s">
        <v>1325</v>
      </c>
      <c r="C467" s="17" t="str">
        <f>VLOOKUP(Table4[[#This Row],[Name]],Table1[[Player]:[Status]],4,FALSE)</f>
        <v>W &lt;small&gt;(Mon)&lt;/small&gt;</v>
      </c>
      <c r="D467" s="17" t="str">
        <f>VLOOKUP(Table4[[#This Row],[Name]],Table1[[Player]:[FP/G]],3,FALSE)</f>
        <v>D</v>
      </c>
      <c r="E467" s="17">
        <f>VLOOKUP(Table4[[#This Row],[Name]],Table1[[Player]:[Age]],5,FALSE)</f>
        <v>32</v>
      </c>
      <c r="F467" s="10">
        <f>MAX(
  _xlfn.IFNA(_xlfn.XLOOKUP(B467,'C'!B:B,'C'!E:E),  -1000000000),
  _xlfn.IFNA(_xlfn.XLOOKUP(B467, LW!B:B, LW!E:E), -1000000000),
  _xlfn.IFNA(_xlfn.XLOOKUP(B467, RW!B:B, RW!E:E), -1000000000),
  _xlfn.IFNA(_xlfn.XLOOKUP(B467, D!B:B,  D!E:E),  -1000000000)
)</f>
        <v>-1.6288780506611702</v>
      </c>
    </row>
    <row r="468" spans="2:6" x14ac:dyDescent="0.25">
      <c r="B468" t="s">
        <v>790</v>
      </c>
      <c r="C468" s="17" t="str">
        <f>VLOOKUP(Table4[[#This Row],[Name]],Table1[[Player]:[Status]],4,FALSE)</f>
        <v>W &lt;small&gt;(Mon)&lt;/small&gt;</v>
      </c>
      <c r="D468" s="17" t="str">
        <f>VLOOKUP(Table4[[#This Row],[Name]],Table1[[Player]:[FP/G]],3,FALSE)</f>
        <v>LW,RW</v>
      </c>
      <c r="E468" s="17">
        <f>VLOOKUP(Table4[[#This Row],[Name]],Table1[[Player]:[Age]],5,FALSE)</f>
        <v>29</v>
      </c>
      <c r="F468" s="10">
        <f>MAX(
  _xlfn.IFNA(_xlfn.XLOOKUP(B468,'C'!B:B,'C'!E:E),  -1000000000),
  _xlfn.IFNA(_xlfn.XLOOKUP(B468, LW!B:B, LW!E:E), -1000000000),
  _xlfn.IFNA(_xlfn.XLOOKUP(B468, RW!B:B, RW!E:E), -1000000000),
  _xlfn.IFNA(_xlfn.XLOOKUP(B468, D!B:B,  D!E:E),  -1000000000)
)</f>
        <v>-1.6424614353555</v>
      </c>
    </row>
    <row r="469" spans="2:6" x14ac:dyDescent="0.25">
      <c r="B469" t="s">
        <v>584</v>
      </c>
      <c r="C469" s="17" t="str">
        <f>VLOOKUP(Table4[[#This Row],[Name]],Table1[[Player]:[Status]],4,FALSE)</f>
        <v>W &lt;small&gt;(Mon)&lt;/small&gt;</v>
      </c>
      <c r="D469" s="17" t="str">
        <f>VLOOKUP(Table4[[#This Row],[Name]],Table1[[Player]:[FP/G]],3,FALSE)</f>
        <v>LW,RW</v>
      </c>
      <c r="E469" s="17">
        <f>VLOOKUP(Table4[[#This Row],[Name]],Table1[[Player]:[Age]],5,FALSE)</f>
        <v>27</v>
      </c>
      <c r="F469" s="10">
        <f>MAX(
  _xlfn.IFNA(_xlfn.XLOOKUP(B469,'C'!B:B,'C'!E:E),  -1000000000),
  _xlfn.IFNA(_xlfn.XLOOKUP(B469, LW!B:B, LW!E:E), -1000000000),
  _xlfn.IFNA(_xlfn.XLOOKUP(B469, RW!B:B, RW!E:E), -1000000000),
  _xlfn.IFNA(_xlfn.XLOOKUP(B469, D!B:B,  D!E:E),  -1000000000)
)</f>
        <v>-1.6505759279885299</v>
      </c>
    </row>
    <row r="470" spans="2:6" x14ac:dyDescent="0.25">
      <c r="B470" t="s">
        <v>600</v>
      </c>
      <c r="C470" s="17" t="str">
        <f>VLOOKUP(Table4[[#This Row],[Name]],Table1[[Player]:[Status]],4,FALSE)</f>
        <v>W &lt;small&gt;(Mon)&lt;/small&gt;</v>
      </c>
      <c r="D470" s="17" t="str">
        <f>VLOOKUP(Table4[[#This Row],[Name]],Table1[[Player]:[FP/G]],3,FALSE)</f>
        <v>LW,RW</v>
      </c>
      <c r="E470" s="17">
        <f>VLOOKUP(Table4[[#This Row],[Name]],Table1[[Player]:[Age]],5,FALSE)</f>
        <v>31</v>
      </c>
      <c r="F470" s="10">
        <f>MAX(
  _xlfn.IFNA(_xlfn.XLOOKUP(B470,'C'!B:B,'C'!E:E),  -1000000000),
  _xlfn.IFNA(_xlfn.XLOOKUP(B470, LW!B:B, LW!E:E), -1000000000),
  _xlfn.IFNA(_xlfn.XLOOKUP(B470, RW!B:B, RW!E:E), -1000000000),
  _xlfn.IFNA(_xlfn.XLOOKUP(B470, D!B:B,  D!E:E),  -1000000000)
)</f>
        <v>-1.6526198899043698</v>
      </c>
    </row>
    <row r="471" spans="2:6" x14ac:dyDescent="0.25">
      <c r="B471" t="s">
        <v>1166</v>
      </c>
      <c r="C471" s="17" t="str">
        <f>VLOOKUP(Table4[[#This Row],[Name]],Table1[[Player]:[Status]],4,FALSE)</f>
        <v>W &lt;small&gt;(Mon)&lt;/small&gt;</v>
      </c>
      <c r="D471" s="17" t="str">
        <f>VLOOKUP(Table4[[#This Row],[Name]],Table1[[Player]:[FP/G]],3,FALSE)</f>
        <v>D</v>
      </c>
      <c r="E471" s="17">
        <f>VLOOKUP(Table4[[#This Row],[Name]],Table1[[Player]:[Age]],5,FALSE)</f>
        <v>23</v>
      </c>
      <c r="F471" s="10">
        <f>MAX(
  _xlfn.IFNA(_xlfn.XLOOKUP(B471,'C'!B:B,'C'!E:E),  -1000000000),
  _xlfn.IFNA(_xlfn.XLOOKUP(B471, LW!B:B, LW!E:E), -1000000000),
  _xlfn.IFNA(_xlfn.XLOOKUP(B471, RW!B:B, RW!E:E), -1000000000),
  _xlfn.IFNA(_xlfn.XLOOKUP(B471, D!B:B,  D!E:E),  -1000000000)
)</f>
        <v>-1.6538916166143702</v>
      </c>
    </row>
    <row r="472" spans="2:6" x14ac:dyDescent="0.25">
      <c r="B472" t="s">
        <v>844</v>
      </c>
      <c r="C472" s="17" t="str">
        <f>VLOOKUP(Table4[[#This Row],[Name]],Table1[[Player]:[Status]],4,FALSE)</f>
        <v>W &lt;small&gt;(Mon)&lt;/small&gt;</v>
      </c>
      <c r="D472" s="17" t="str">
        <f>VLOOKUP(Table4[[#This Row],[Name]],Table1[[Player]:[FP/G]],3,FALSE)</f>
        <v>LW</v>
      </c>
      <c r="E472" s="17">
        <f>VLOOKUP(Table4[[#This Row],[Name]],Table1[[Player]:[Age]],5,FALSE)</f>
        <v>33</v>
      </c>
      <c r="F472" s="10">
        <f>MAX(
  _xlfn.IFNA(_xlfn.XLOOKUP(B472,'C'!B:B,'C'!E:E),  -1000000000),
  _xlfn.IFNA(_xlfn.XLOOKUP(B472, LW!B:B, LW!E:E), -1000000000),
  _xlfn.IFNA(_xlfn.XLOOKUP(B472, RW!B:B, RW!E:E), -1000000000),
  _xlfn.IFNA(_xlfn.XLOOKUP(B472, D!B:B,  D!E:E),  -1000000000)
)</f>
        <v>-1.6654917842410297</v>
      </c>
    </row>
    <row r="473" spans="2:6" x14ac:dyDescent="0.25">
      <c r="B473" t="s">
        <v>1034</v>
      </c>
      <c r="C473" s="17" t="str">
        <f>VLOOKUP(Table4[[#This Row],[Name]],Table1[[Player]:[Status]],4,FALSE)</f>
        <v>W &lt;small&gt;(Mon)&lt;/small&gt;</v>
      </c>
      <c r="D473" s="17" t="str">
        <f>VLOOKUP(Table4[[#This Row],[Name]],Table1[[Player]:[FP/G]],3,FALSE)</f>
        <v>C</v>
      </c>
      <c r="E473" s="17">
        <f>VLOOKUP(Table4[[#This Row],[Name]],Table1[[Player]:[Age]],5,FALSE)</f>
        <v>27</v>
      </c>
      <c r="F473" s="10">
        <f>MAX(
  _xlfn.IFNA(_xlfn.XLOOKUP(B473,'C'!B:B,'C'!E:E),  -1000000000),
  _xlfn.IFNA(_xlfn.XLOOKUP(B473, LW!B:B, LW!E:E), -1000000000),
  _xlfn.IFNA(_xlfn.XLOOKUP(B473, RW!B:B, RW!E:E), -1000000000),
  _xlfn.IFNA(_xlfn.XLOOKUP(B473, D!B:B,  D!E:E),  -1000000000)
)</f>
        <v>-1.6659371425191902</v>
      </c>
    </row>
    <row r="474" spans="2:6" x14ac:dyDescent="0.25">
      <c r="B474" t="s">
        <v>410</v>
      </c>
      <c r="C474" s="17" t="str">
        <f>VLOOKUP(Table4[[#This Row],[Name]],Table1[[Player]:[Status]],4,FALSE)</f>
        <v>W &lt;small&gt;(Mon)&lt;/small&gt;</v>
      </c>
      <c r="D474" s="17" t="str">
        <f>VLOOKUP(Table4[[#This Row],[Name]],Table1[[Player]:[FP/G]],3,FALSE)</f>
        <v>RW</v>
      </c>
      <c r="E474" s="17">
        <f>VLOOKUP(Table4[[#This Row],[Name]],Table1[[Player]:[Age]],5,FALSE)</f>
        <v>23</v>
      </c>
      <c r="F474" s="10">
        <f>MAX(
  _xlfn.IFNA(_xlfn.XLOOKUP(B474,'C'!B:B,'C'!E:E),  -1000000000),
  _xlfn.IFNA(_xlfn.XLOOKUP(B474, LW!B:B, LW!E:E), -1000000000),
  _xlfn.IFNA(_xlfn.XLOOKUP(B474, RW!B:B, RW!E:E), -1000000000),
  _xlfn.IFNA(_xlfn.XLOOKUP(B474, D!B:B,  D!E:E),  -1000000000)
)</f>
        <v>-1.6785201191855599</v>
      </c>
    </row>
    <row r="475" spans="2:6" x14ac:dyDescent="0.25">
      <c r="B475" t="s">
        <v>566</v>
      </c>
      <c r="C475" s="17" t="str">
        <f>VLOOKUP(Table4[[#This Row],[Name]],Table1[[Player]:[Status]],4,FALSE)</f>
        <v>W &lt;small&gt;(Mon)&lt;/small&gt;</v>
      </c>
      <c r="D475" s="17" t="str">
        <f>VLOOKUP(Table4[[#This Row],[Name]],Table1[[Player]:[FP/G]],3,FALSE)</f>
        <v>C,LW</v>
      </c>
      <c r="E475" s="17">
        <f>VLOOKUP(Table4[[#This Row],[Name]],Table1[[Player]:[Age]],5,FALSE)</f>
        <v>26</v>
      </c>
      <c r="F475" s="10">
        <f>MAX(
  _xlfn.IFNA(_xlfn.XLOOKUP(B475,'C'!B:B,'C'!E:E),  -1000000000),
  _xlfn.IFNA(_xlfn.XLOOKUP(B475, LW!B:B, LW!E:E), -1000000000),
  _xlfn.IFNA(_xlfn.XLOOKUP(B475, RW!B:B, RW!E:E), -1000000000),
  _xlfn.IFNA(_xlfn.XLOOKUP(B475, D!B:B,  D!E:E),  -1000000000)
)</f>
        <v>-1.6890315282694903</v>
      </c>
    </row>
    <row r="476" spans="2:6" x14ac:dyDescent="0.25">
      <c r="B476" t="s">
        <v>834</v>
      </c>
      <c r="C476" s="17" t="str">
        <f>VLOOKUP(Table4[[#This Row],[Name]],Table1[[Player]:[Status]],4,FALSE)</f>
        <v>W &lt;small&gt;(Mon)&lt;/small&gt;</v>
      </c>
      <c r="D476" s="17" t="str">
        <f>VLOOKUP(Table4[[#This Row],[Name]],Table1[[Player]:[FP/G]],3,FALSE)</f>
        <v>C,LW</v>
      </c>
      <c r="E476" s="17">
        <f>VLOOKUP(Table4[[#This Row],[Name]],Table1[[Player]:[Age]],5,FALSE)</f>
        <v>31</v>
      </c>
      <c r="F476" s="10">
        <f>MAX(
  _xlfn.IFNA(_xlfn.XLOOKUP(B476,'C'!B:B,'C'!E:E),  -1000000000),
  _xlfn.IFNA(_xlfn.XLOOKUP(B476, LW!B:B, LW!E:E), -1000000000),
  _xlfn.IFNA(_xlfn.XLOOKUP(B476, RW!B:B, RW!E:E), -1000000000),
  _xlfn.IFNA(_xlfn.XLOOKUP(B476, D!B:B,  D!E:E),  -1000000000)
)</f>
        <v>-1.6946378541868401</v>
      </c>
    </row>
    <row r="477" spans="2:6" x14ac:dyDescent="0.25">
      <c r="B477" t="s">
        <v>1128</v>
      </c>
      <c r="C477" s="17" t="str">
        <f>VLOOKUP(Table4[[#This Row],[Name]],Table1[[Player]:[Status]],4,FALSE)</f>
        <v>W &lt;small&gt;(Mon)&lt;/small&gt;</v>
      </c>
      <c r="D477" s="17" t="str">
        <f>VLOOKUP(Table4[[#This Row],[Name]],Table1[[Player]:[FP/G]],3,FALSE)</f>
        <v>C,RW</v>
      </c>
      <c r="E477" s="17">
        <f>VLOOKUP(Table4[[#This Row],[Name]],Table1[[Player]:[Age]],5,FALSE)</f>
        <v>26</v>
      </c>
      <c r="F477" s="10">
        <f>MAX(
  _xlfn.IFNA(_xlfn.XLOOKUP(B477,'C'!B:B,'C'!E:E),  -1000000000),
  _xlfn.IFNA(_xlfn.XLOOKUP(B477, LW!B:B, LW!E:E), -1000000000),
  _xlfn.IFNA(_xlfn.XLOOKUP(B477, RW!B:B, RW!E:E), -1000000000),
  _xlfn.IFNA(_xlfn.XLOOKUP(B477, D!B:B,  D!E:E),  -1000000000)
)</f>
        <v>-1.7011066738686105</v>
      </c>
    </row>
    <row r="478" spans="2:6" x14ac:dyDescent="0.25">
      <c r="B478" t="s">
        <v>1321</v>
      </c>
      <c r="C478" s="17" t="str">
        <f>VLOOKUP(Table4[[#This Row],[Name]],Table1[[Player]:[Status]],4,FALSE)</f>
        <v>W &lt;small&gt;(Mon)&lt;/small&gt;</v>
      </c>
      <c r="D478" s="17" t="str">
        <f>VLOOKUP(Table4[[#This Row],[Name]],Table1[[Player]:[FP/G]],3,FALSE)</f>
        <v>LW</v>
      </c>
      <c r="E478" s="17">
        <f>VLOOKUP(Table4[[#This Row],[Name]],Table1[[Player]:[Age]],5,FALSE)</f>
        <v>30</v>
      </c>
      <c r="F478" s="10">
        <f>MAX(
  _xlfn.IFNA(_xlfn.XLOOKUP(B478,'C'!B:B,'C'!E:E),  -1000000000),
  _xlfn.IFNA(_xlfn.XLOOKUP(B478, LW!B:B, LW!E:E), -1000000000),
  _xlfn.IFNA(_xlfn.XLOOKUP(B478, RW!B:B, RW!E:E), -1000000000),
  _xlfn.IFNA(_xlfn.XLOOKUP(B478, D!B:B,  D!E:E),  -1000000000)
)</f>
        <v>-1.7033784349813397</v>
      </c>
    </row>
    <row r="479" spans="2:6" x14ac:dyDescent="0.25">
      <c r="B479" t="s">
        <v>696</v>
      </c>
      <c r="C479" s="17" t="str">
        <f>VLOOKUP(Table4[[#This Row],[Name]],Table1[[Player]:[Status]],4,FALSE)</f>
        <v>W &lt;small&gt;(Mon)&lt;/small&gt;</v>
      </c>
      <c r="D479" s="17" t="str">
        <f>VLOOKUP(Table4[[#This Row],[Name]],Table1[[Player]:[FP/G]],3,FALSE)</f>
        <v>LW</v>
      </c>
      <c r="E479" s="17">
        <f>VLOOKUP(Table4[[#This Row],[Name]],Table1[[Player]:[Age]],5,FALSE)</f>
        <v>28</v>
      </c>
      <c r="F479" s="10">
        <f>MAX(
  _xlfn.IFNA(_xlfn.XLOOKUP(B479,'C'!B:B,'C'!E:E),  -1000000000),
  _xlfn.IFNA(_xlfn.XLOOKUP(B479, LW!B:B, LW!E:E), -1000000000),
  _xlfn.IFNA(_xlfn.XLOOKUP(B479, RW!B:B, RW!E:E), -1000000000),
  _xlfn.IFNA(_xlfn.XLOOKUP(B479, D!B:B,  D!E:E),  -1000000000)
)</f>
        <v>-1.7324150794406199</v>
      </c>
    </row>
    <row r="480" spans="2:6" x14ac:dyDescent="0.25">
      <c r="B480" t="s">
        <v>766</v>
      </c>
      <c r="C480" s="17" t="str">
        <f>VLOOKUP(Table4[[#This Row],[Name]],Table1[[Player]:[Status]],4,FALSE)</f>
        <v>W &lt;small&gt;(Mon)&lt;/small&gt;</v>
      </c>
      <c r="D480" s="17" t="str">
        <f>VLOOKUP(Table4[[#This Row],[Name]],Table1[[Player]:[FP/G]],3,FALSE)</f>
        <v>C</v>
      </c>
      <c r="E480" s="17">
        <f>VLOOKUP(Table4[[#This Row],[Name]],Table1[[Player]:[Age]],5,FALSE)</f>
        <v>32</v>
      </c>
      <c r="F480" s="10">
        <f>MAX(
  _xlfn.IFNA(_xlfn.XLOOKUP(B480,'C'!B:B,'C'!E:E),  -1000000000),
  _xlfn.IFNA(_xlfn.XLOOKUP(B480, LW!B:B, LW!E:E), -1000000000),
  _xlfn.IFNA(_xlfn.XLOOKUP(B480, RW!B:B, RW!E:E), -1000000000),
  _xlfn.IFNA(_xlfn.XLOOKUP(B480, D!B:B,  D!E:E),  -1000000000)
)</f>
        <v>-1.7605579436707304</v>
      </c>
    </row>
    <row r="481" spans="2:6" x14ac:dyDescent="0.25">
      <c r="B481" t="s">
        <v>804</v>
      </c>
      <c r="C481" s="17" t="str">
        <f>VLOOKUP(Table4[[#This Row],[Name]],Table1[[Player]:[Status]],4,FALSE)</f>
        <v>W &lt;small&gt;(Mon)&lt;/small&gt;</v>
      </c>
      <c r="D481" s="17" t="str">
        <f>VLOOKUP(Table4[[#This Row],[Name]],Table1[[Player]:[FP/G]],3,FALSE)</f>
        <v>C</v>
      </c>
      <c r="E481" s="17">
        <f>VLOOKUP(Table4[[#This Row],[Name]],Table1[[Player]:[Age]],5,FALSE)</f>
        <v>29</v>
      </c>
      <c r="F481" s="10">
        <f>MAX(
  _xlfn.IFNA(_xlfn.XLOOKUP(B481,'C'!B:B,'C'!E:E),  -1000000000),
  _xlfn.IFNA(_xlfn.XLOOKUP(B481, LW!B:B, LW!E:E), -1000000000),
  _xlfn.IFNA(_xlfn.XLOOKUP(B481, RW!B:B, RW!E:E), -1000000000),
  _xlfn.IFNA(_xlfn.XLOOKUP(B481, D!B:B,  D!E:E),  -1000000000)
)</f>
        <v>-1.7622234589208605</v>
      </c>
    </row>
    <row r="482" spans="2:6" x14ac:dyDescent="0.25">
      <c r="B482" t="s">
        <v>1301</v>
      </c>
      <c r="C482" s="17" t="str">
        <f>VLOOKUP(Table4[[#This Row],[Name]],Table1[[Player]:[Status]],4,FALSE)</f>
        <v>W &lt;small&gt;(Mon)&lt;/small&gt;</v>
      </c>
      <c r="D482" s="17" t="str">
        <f>VLOOKUP(Table4[[#This Row],[Name]],Table1[[Player]:[FP/G]],3,FALSE)</f>
        <v>D</v>
      </c>
      <c r="E482" s="17">
        <f>VLOOKUP(Table4[[#This Row],[Name]],Table1[[Player]:[Age]],5,FALSE)</f>
        <v>26</v>
      </c>
      <c r="F482" s="10">
        <f>MAX(
  _xlfn.IFNA(_xlfn.XLOOKUP(B482,'C'!B:B,'C'!E:E),  -1000000000),
  _xlfn.IFNA(_xlfn.XLOOKUP(B482, LW!B:B, LW!E:E), -1000000000),
  _xlfn.IFNA(_xlfn.XLOOKUP(B482, RW!B:B, RW!E:E), -1000000000),
  _xlfn.IFNA(_xlfn.XLOOKUP(B482, D!B:B,  D!E:E),  -1000000000)
)</f>
        <v>-1.7622631330271903</v>
      </c>
    </row>
    <row r="483" spans="2:6" x14ac:dyDescent="0.25">
      <c r="B483" t="s">
        <v>1612</v>
      </c>
      <c r="C483" s="17" t="str">
        <f>VLOOKUP(Table4[[#This Row],[Name]],Table1[[Player]:[Status]],4,FALSE)</f>
        <v>W &lt;small&gt;(Mon)&lt;/small&gt;</v>
      </c>
      <c r="D483" s="17" t="str">
        <f>VLOOKUP(Table4[[#This Row],[Name]],Table1[[Player]:[FP/G]],3,FALSE)</f>
        <v>C,LW</v>
      </c>
      <c r="E483" s="17">
        <f>VLOOKUP(Table4[[#This Row],[Name]],Table1[[Player]:[Age]],5,FALSE)</f>
        <v>26</v>
      </c>
      <c r="F483" s="10">
        <f>MAX(
  _xlfn.IFNA(_xlfn.XLOOKUP(B483,'C'!B:B,'C'!E:E),  -1000000000),
  _xlfn.IFNA(_xlfn.XLOOKUP(B483, LW!B:B, LW!E:E), -1000000000),
  _xlfn.IFNA(_xlfn.XLOOKUP(B483, RW!B:B, RW!E:E), -1000000000),
  _xlfn.IFNA(_xlfn.XLOOKUP(B483, D!B:B,  D!E:E),  -1000000000)
)</f>
        <v>-1.7678257533488804</v>
      </c>
    </row>
    <row r="484" spans="2:6" x14ac:dyDescent="0.25">
      <c r="B484" t="s">
        <v>724</v>
      </c>
      <c r="C484" s="17" t="str">
        <f>VLOOKUP(Table4[[#This Row],[Name]],Table1[[Player]:[Status]],4,FALSE)</f>
        <v>W &lt;small&gt;(Mon)&lt;/small&gt;</v>
      </c>
      <c r="D484" s="17" t="str">
        <f>VLOOKUP(Table4[[#This Row],[Name]],Table1[[Player]:[FP/G]],3,FALSE)</f>
        <v>C,RW</v>
      </c>
      <c r="E484" s="17">
        <f>VLOOKUP(Table4[[#This Row],[Name]],Table1[[Player]:[Age]],5,FALSE)</f>
        <v>26</v>
      </c>
      <c r="F484" s="10">
        <f>MAX(
  _xlfn.IFNA(_xlfn.XLOOKUP(B484,'C'!B:B,'C'!E:E),  -1000000000),
  _xlfn.IFNA(_xlfn.XLOOKUP(B484, LW!B:B, LW!E:E), -1000000000),
  _xlfn.IFNA(_xlfn.XLOOKUP(B484, RW!B:B, RW!E:E), -1000000000),
  _xlfn.IFNA(_xlfn.XLOOKUP(B484, D!B:B,  D!E:E),  -1000000000)
)</f>
        <v>-1.7739034526402104</v>
      </c>
    </row>
    <row r="485" spans="2:6" x14ac:dyDescent="0.25">
      <c r="B485" t="s">
        <v>970</v>
      </c>
      <c r="C485" s="17" t="str">
        <f>VLOOKUP(Table4[[#This Row],[Name]],Table1[[Player]:[Status]],4,FALSE)</f>
        <v>W &lt;small&gt;(Mon)&lt;/small&gt;</v>
      </c>
      <c r="D485" s="17" t="str">
        <f>VLOOKUP(Table4[[#This Row],[Name]],Table1[[Player]:[FP/G]],3,FALSE)</f>
        <v>C</v>
      </c>
      <c r="E485" s="17">
        <f>VLOOKUP(Table4[[#This Row],[Name]],Table1[[Player]:[Age]],5,FALSE)</f>
        <v>29</v>
      </c>
      <c r="F485" s="10">
        <f>MAX(
  _xlfn.IFNA(_xlfn.XLOOKUP(B485,'C'!B:B,'C'!E:E),  -1000000000),
  _xlfn.IFNA(_xlfn.XLOOKUP(B485, LW!B:B, LW!E:E), -1000000000),
  _xlfn.IFNA(_xlfn.XLOOKUP(B485, RW!B:B, RW!E:E), -1000000000),
  _xlfn.IFNA(_xlfn.XLOOKUP(B485, D!B:B,  D!E:E),  -1000000000)
)</f>
        <v>-1.7923627241100002</v>
      </c>
    </row>
    <row r="486" spans="2:6" x14ac:dyDescent="0.25">
      <c r="B486" t="s">
        <v>748</v>
      </c>
      <c r="C486" s="17" t="str">
        <f>VLOOKUP(Table4[[#This Row],[Name]],Table1[[Player]:[Status]],4,FALSE)</f>
        <v>W &lt;small&gt;(Mon)&lt;/small&gt;</v>
      </c>
      <c r="D486" s="17" t="str">
        <f>VLOOKUP(Table4[[#This Row],[Name]],Table1[[Player]:[FP/G]],3,FALSE)</f>
        <v>C,LW</v>
      </c>
      <c r="E486" s="17">
        <f>VLOOKUP(Table4[[#This Row],[Name]],Table1[[Player]:[Age]],5,FALSE)</f>
        <v>25</v>
      </c>
      <c r="F486" s="10">
        <f>MAX(
  _xlfn.IFNA(_xlfn.XLOOKUP(B486,'C'!B:B,'C'!E:E),  -1000000000),
  _xlfn.IFNA(_xlfn.XLOOKUP(B486, LW!B:B, LW!E:E), -1000000000),
  _xlfn.IFNA(_xlfn.XLOOKUP(B486, RW!B:B, RW!E:E), -1000000000),
  _xlfn.IFNA(_xlfn.XLOOKUP(B486, D!B:B,  D!E:E),  -1000000000)
)</f>
        <v>-1.7931920346838801</v>
      </c>
    </row>
    <row r="487" spans="2:6" x14ac:dyDescent="0.25">
      <c r="B487" t="s">
        <v>1307</v>
      </c>
      <c r="C487" s="17" t="str">
        <f>VLOOKUP(Table4[[#This Row],[Name]],Table1[[Player]:[Status]],4,FALSE)</f>
        <v>W &lt;small&gt;(Mon)&lt;/small&gt;</v>
      </c>
      <c r="D487" s="17" t="str">
        <f>VLOOKUP(Table4[[#This Row],[Name]],Table1[[Player]:[FP/G]],3,FALSE)</f>
        <v>D</v>
      </c>
      <c r="E487" s="17">
        <f>VLOOKUP(Table4[[#This Row],[Name]],Table1[[Player]:[Age]],5,FALSE)</f>
        <v>28</v>
      </c>
      <c r="F487" s="10">
        <f>MAX(
  _xlfn.IFNA(_xlfn.XLOOKUP(B487,'C'!B:B,'C'!E:E),  -1000000000),
  _xlfn.IFNA(_xlfn.XLOOKUP(B487, LW!B:B, LW!E:E), -1000000000),
  _xlfn.IFNA(_xlfn.XLOOKUP(B487, RW!B:B, RW!E:E), -1000000000),
  _xlfn.IFNA(_xlfn.XLOOKUP(B487, D!B:B,  D!E:E),  -1000000000)
)</f>
        <v>-1.7946112945571802</v>
      </c>
    </row>
    <row r="488" spans="2:6" x14ac:dyDescent="0.25">
      <c r="B488" t="s">
        <v>1118</v>
      </c>
      <c r="C488" s="17" t="str">
        <f>VLOOKUP(Table4[[#This Row],[Name]],Table1[[Player]:[Status]],4,FALSE)</f>
        <v>W &lt;small&gt;(Mon)&lt;/small&gt;</v>
      </c>
      <c r="D488" s="17" t="str">
        <f>VLOOKUP(Table4[[#This Row],[Name]],Table1[[Player]:[FP/G]],3,FALSE)</f>
        <v>D</v>
      </c>
      <c r="E488" s="17">
        <f>VLOOKUP(Table4[[#This Row],[Name]],Table1[[Player]:[Age]],5,FALSE)</f>
        <v>38</v>
      </c>
      <c r="F488" s="10">
        <f>MAX(
  _xlfn.IFNA(_xlfn.XLOOKUP(B488,'C'!B:B,'C'!E:E),  -1000000000),
  _xlfn.IFNA(_xlfn.XLOOKUP(B488, LW!B:B, LW!E:E), -1000000000),
  _xlfn.IFNA(_xlfn.XLOOKUP(B488, RW!B:B, RW!E:E), -1000000000),
  _xlfn.IFNA(_xlfn.XLOOKUP(B488, D!B:B,  D!E:E),  -1000000000)
)</f>
        <v>-1.8022428522490301</v>
      </c>
    </row>
    <row r="489" spans="2:6" x14ac:dyDescent="0.25">
      <c r="B489" t="s">
        <v>1154</v>
      </c>
      <c r="C489" s="17" t="str">
        <f>VLOOKUP(Table4[[#This Row],[Name]],Table1[[Player]:[Status]],4,FALSE)</f>
        <v>W &lt;small&gt;(Mon)&lt;/small&gt;</v>
      </c>
      <c r="D489" s="17" t="str">
        <f>VLOOKUP(Table4[[#This Row],[Name]],Table1[[Player]:[FP/G]],3,FALSE)</f>
        <v>D</v>
      </c>
      <c r="E489" s="17">
        <f>VLOOKUP(Table4[[#This Row],[Name]],Table1[[Player]:[Age]],5,FALSE)</f>
        <v>33</v>
      </c>
      <c r="F489" s="10">
        <f>MAX(
  _xlfn.IFNA(_xlfn.XLOOKUP(B489,'C'!B:B,'C'!E:E),  -1000000000),
  _xlfn.IFNA(_xlfn.XLOOKUP(B489, LW!B:B, LW!E:E), -1000000000),
  _xlfn.IFNA(_xlfn.XLOOKUP(B489, RW!B:B, RW!E:E), -1000000000),
  _xlfn.IFNA(_xlfn.XLOOKUP(B489, D!B:B,  D!E:E),  -1000000000)
)</f>
        <v>-1.8034076104408603</v>
      </c>
    </row>
    <row r="490" spans="2:6" x14ac:dyDescent="0.25">
      <c r="B490" t="s">
        <v>840</v>
      </c>
      <c r="C490" s="17" t="str">
        <f>VLOOKUP(Table4[[#This Row],[Name]],Table1[[Player]:[Status]],4,FALSE)</f>
        <v>W &lt;small&gt;(Mon)&lt;/small&gt;</v>
      </c>
      <c r="D490" s="17" t="str">
        <f>VLOOKUP(Table4[[#This Row],[Name]],Table1[[Player]:[FP/G]],3,FALSE)</f>
        <v>C</v>
      </c>
      <c r="E490" s="17">
        <f>VLOOKUP(Table4[[#This Row],[Name]],Table1[[Player]:[Age]],5,FALSE)</f>
        <v>25</v>
      </c>
      <c r="F490" s="10">
        <f>MAX(
  _xlfn.IFNA(_xlfn.XLOOKUP(B490,'C'!B:B,'C'!E:E),  -1000000000),
  _xlfn.IFNA(_xlfn.XLOOKUP(B490, LW!B:B, LW!E:E), -1000000000),
  _xlfn.IFNA(_xlfn.XLOOKUP(B490, RW!B:B, RW!E:E), -1000000000),
  _xlfn.IFNA(_xlfn.XLOOKUP(B490, D!B:B,  D!E:E),  -1000000000)
)</f>
        <v>-1.8059288920836405</v>
      </c>
    </row>
    <row r="491" spans="2:6" x14ac:dyDescent="0.25">
      <c r="B491" t="s">
        <v>1296</v>
      </c>
      <c r="C491" s="17" t="str">
        <f>VLOOKUP(Table4[[#This Row],[Name]],Table1[[Player]:[Status]],4,FALSE)</f>
        <v>W &lt;small&gt;(Mon)&lt;/small&gt;</v>
      </c>
      <c r="D491" s="17" t="str">
        <f>VLOOKUP(Table4[[#This Row],[Name]],Table1[[Player]:[FP/G]],3,FALSE)</f>
        <v>LW,D</v>
      </c>
      <c r="E491" s="17">
        <f>VLOOKUP(Table4[[#This Row],[Name]],Table1[[Player]:[Age]],5,FALSE)</f>
        <v>31</v>
      </c>
      <c r="F491" s="10">
        <f>MAX(
  _xlfn.IFNA(_xlfn.XLOOKUP(B491,'C'!B:B,'C'!E:E),  -1000000000),
  _xlfn.IFNA(_xlfn.XLOOKUP(B491, LW!B:B, LW!E:E), -1000000000),
  _xlfn.IFNA(_xlfn.XLOOKUP(B491, RW!B:B, RW!E:E), -1000000000),
  _xlfn.IFNA(_xlfn.XLOOKUP(B491, D!B:B,  D!E:E),  -1000000000)
)</f>
        <v>-1.8157875491501803</v>
      </c>
    </row>
    <row r="492" spans="2:6" x14ac:dyDescent="0.25">
      <c r="B492" t="s">
        <v>574</v>
      </c>
      <c r="C492" s="17" t="str">
        <f>VLOOKUP(Table4[[#This Row],[Name]],Table1[[Player]:[Status]],4,FALSE)</f>
        <v>W &lt;small&gt;(Mon)&lt;/small&gt;</v>
      </c>
      <c r="D492" s="17" t="str">
        <f>VLOOKUP(Table4[[#This Row],[Name]],Table1[[Player]:[FP/G]],3,FALSE)</f>
        <v>RW</v>
      </c>
      <c r="E492" s="17">
        <f>VLOOKUP(Table4[[#This Row],[Name]],Table1[[Player]:[Age]],5,FALSE)</f>
        <v>28</v>
      </c>
      <c r="F492" s="10">
        <f>MAX(
  _xlfn.IFNA(_xlfn.XLOOKUP(B492,'C'!B:B,'C'!E:E),  -1000000000),
  _xlfn.IFNA(_xlfn.XLOOKUP(B492, LW!B:B, LW!E:E), -1000000000),
  _xlfn.IFNA(_xlfn.XLOOKUP(B492, RW!B:B, RW!E:E), -1000000000),
  _xlfn.IFNA(_xlfn.XLOOKUP(B492, D!B:B,  D!E:E),  -1000000000)
)</f>
        <v>-1.8227384267575597</v>
      </c>
    </row>
    <row r="493" spans="2:6" x14ac:dyDescent="0.25">
      <c r="B493" t="s">
        <v>1646</v>
      </c>
      <c r="C493" s="17" t="str">
        <f>VLOOKUP(Table4[[#This Row],[Name]],Table1[[Player]:[Status]],4,FALSE)</f>
        <v>W &lt;small&gt;(Mon)&lt;/small&gt;</v>
      </c>
      <c r="D493" s="17" t="str">
        <f>VLOOKUP(Table4[[#This Row],[Name]],Table1[[Player]:[FP/G]],3,FALSE)</f>
        <v>D</v>
      </c>
      <c r="E493" s="17">
        <f>VLOOKUP(Table4[[#This Row],[Name]],Table1[[Player]:[Age]],5,FALSE)</f>
        <v>25</v>
      </c>
      <c r="F493" s="10">
        <f>MAX(
  _xlfn.IFNA(_xlfn.XLOOKUP(B493,'C'!B:B,'C'!E:E),  -1000000000),
  _xlfn.IFNA(_xlfn.XLOOKUP(B493, LW!B:B, LW!E:E), -1000000000),
  _xlfn.IFNA(_xlfn.XLOOKUP(B493, RW!B:B, RW!E:E), -1000000000),
  _xlfn.IFNA(_xlfn.XLOOKUP(B493, D!B:B,  D!E:E),  -1000000000)
)</f>
        <v>-1.8346341295874002</v>
      </c>
    </row>
    <row r="494" spans="2:6" x14ac:dyDescent="0.25">
      <c r="B494" t="s">
        <v>1630</v>
      </c>
      <c r="C494" s="17" t="str">
        <f>VLOOKUP(Table4[[#This Row],[Name]],Table1[[Player]:[Status]],4,FALSE)</f>
        <v>W &lt;small&gt;(Mon)&lt;/small&gt;</v>
      </c>
      <c r="D494" s="17" t="str">
        <f>VLOOKUP(Table4[[#This Row],[Name]],Table1[[Player]:[FP/G]],3,FALSE)</f>
        <v>D</v>
      </c>
      <c r="E494" s="17">
        <f>VLOOKUP(Table4[[#This Row],[Name]],Table1[[Player]:[Age]],5,FALSE)</f>
        <v>30</v>
      </c>
      <c r="F494" s="10">
        <f>MAX(
  _xlfn.IFNA(_xlfn.XLOOKUP(B494,'C'!B:B,'C'!E:E),  -1000000000),
  _xlfn.IFNA(_xlfn.XLOOKUP(B494, LW!B:B, LW!E:E), -1000000000),
  _xlfn.IFNA(_xlfn.XLOOKUP(B494, RW!B:B, RW!E:E), -1000000000),
  _xlfn.IFNA(_xlfn.XLOOKUP(B494, D!B:B,  D!E:E),  -1000000000)
)</f>
        <v>-1.8367837750945801</v>
      </c>
    </row>
    <row r="495" spans="2:6" x14ac:dyDescent="0.25">
      <c r="B495" t="s">
        <v>742</v>
      </c>
      <c r="C495" s="17" t="str">
        <f>VLOOKUP(Table4[[#This Row],[Name]],Table1[[Player]:[Status]],4,FALSE)</f>
        <v>W &lt;small&gt;(Mon)&lt;/small&gt;</v>
      </c>
      <c r="D495" s="17" t="str">
        <f>VLOOKUP(Table4[[#This Row],[Name]],Table1[[Player]:[FP/G]],3,FALSE)</f>
        <v>C</v>
      </c>
      <c r="E495" s="17">
        <f>VLOOKUP(Table4[[#This Row],[Name]],Table1[[Player]:[Age]],5,FALSE)</f>
        <v>36</v>
      </c>
      <c r="F495" s="10">
        <f>MAX(
  _xlfn.IFNA(_xlfn.XLOOKUP(B495,'C'!B:B,'C'!E:E),  -1000000000),
  _xlfn.IFNA(_xlfn.XLOOKUP(B495, LW!B:B, LW!E:E), -1000000000),
  _xlfn.IFNA(_xlfn.XLOOKUP(B495, RW!B:B, RW!E:E), -1000000000),
  _xlfn.IFNA(_xlfn.XLOOKUP(B495, D!B:B,  D!E:E),  -1000000000)
)</f>
        <v>-1.8410928909465705</v>
      </c>
    </row>
    <row r="496" spans="2:6" x14ac:dyDescent="0.25">
      <c r="B496" t="s">
        <v>968</v>
      </c>
      <c r="C496" s="17" t="str">
        <f>VLOOKUP(Table4[[#This Row],[Name]],Table1[[Player]:[Status]],4,FALSE)</f>
        <v>W &lt;small&gt;(Mon)&lt;/small&gt;</v>
      </c>
      <c r="D496" s="17" t="str">
        <f>VLOOKUP(Table4[[#This Row],[Name]],Table1[[Player]:[FP/G]],3,FALSE)</f>
        <v>C,RW</v>
      </c>
      <c r="E496" s="17">
        <f>VLOOKUP(Table4[[#This Row],[Name]],Table1[[Player]:[Age]],5,FALSE)</f>
        <v>32</v>
      </c>
      <c r="F496" s="10">
        <f>MAX(
  _xlfn.IFNA(_xlfn.XLOOKUP(B496,'C'!B:B,'C'!E:E),  -1000000000),
  _xlfn.IFNA(_xlfn.XLOOKUP(B496, LW!B:B, LW!E:E), -1000000000),
  _xlfn.IFNA(_xlfn.XLOOKUP(B496, RW!B:B, RW!E:E), -1000000000),
  _xlfn.IFNA(_xlfn.XLOOKUP(B496, D!B:B,  D!E:E),  -1000000000)
)</f>
        <v>-1.8508205935971502</v>
      </c>
    </row>
    <row r="497" spans="2:6" x14ac:dyDescent="0.25">
      <c r="B497" t="s">
        <v>852</v>
      </c>
      <c r="C497" s="17" t="str">
        <f>VLOOKUP(Table4[[#This Row],[Name]],Table1[[Player]:[Status]],4,FALSE)</f>
        <v>W &lt;small&gt;(Mon)&lt;/small&gt;</v>
      </c>
      <c r="D497" s="17" t="str">
        <f>VLOOKUP(Table4[[#This Row],[Name]],Table1[[Player]:[FP/G]],3,FALSE)</f>
        <v>LW,RW</v>
      </c>
      <c r="E497" s="17">
        <f>VLOOKUP(Table4[[#This Row],[Name]],Table1[[Player]:[Age]],5,FALSE)</f>
        <v>28</v>
      </c>
      <c r="F497" s="10">
        <f>MAX(
  _xlfn.IFNA(_xlfn.XLOOKUP(B497,'C'!B:B,'C'!E:E),  -1000000000),
  _xlfn.IFNA(_xlfn.XLOOKUP(B497, LW!B:B, LW!E:E), -1000000000),
  _xlfn.IFNA(_xlfn.XLOOKUP(B497, RW!B:B, RW!E:E), -1000000000),
  _xlfn.IFNA(_xlfn.XLOOKUP(B497, D!B:B,  D!E:E),  -1000000000)
)</f>
        <v>-1.8635266865219897</v>
      </c>
    </row>
    <row r="498" spans="2:6" x14ac:dyDescent="0.25">
      <c r="B498" t="s">
        <v>898</v>
      </c>
      <c r="C498" s="17" t="str">
        <f>VLOOKUP(Table4[[#This Row],[Name]],Table1[[Player]:[Status]],4,FALSE)</f>
        <v>W &lt;small&gt;(Mon)&lt;/small&gt;</v>
      </c>
      <c r="D498" s="17" t="str">
        <f>VLOOKUP(Table4[[#This Row],[Name]],Table1[[Player]:[FP/G]],3,FALSE)</f>
        <v>RW</v>
      </c>
      <c r="E498" s="17">
        <f>VLOOKUP(Table4[[#This Row],[Name]],Table1[[Player]:[Age]],5,FALSE)</f>
        <v>31</v>
      </c>
      <c r="F498" s="10">
        <f>MAX(
  _xlfn.IFNA(_xlfn.XLOOKUP(B498,'C'!B:B,'C'!E:E),  -1000000000),
  _xlfn.IFNA(_xlfn.XLOOKUP(B498, LW!B:B, LW!E:E), -1000000000),
  _xlfn.IFNA(_xlfn.XLOOKUP(B498, RW!B:B, RW!E:E), -1000000000),
  _xlfn.IFNA(_xlfn.XLOOKUP(B498, D!B:B,  D!E:E),  -1000000000)
)</f>
        <v>-1.86465544117446</v>
      </c>
    </row>
    <row r="499" spans="2:6" x14ac:dyDescent="0.25">
      <c r="B499" t="s">
        <v>1294</v>
      </c>
      <c r="C499" s="17" t="str">
        <f>VLOOKUP(Table4[[#This Row],[Name]],Table1[[Player]:[Status]],4,FALSE)</f>
        <v>W &lt;small&gt;(Mon)&lt;/small&gt;</v>
      </c>
      <c r="D499" s="17" t="str">
        <f>VLOOKUP(Table4[[#This Row],[Name]],Table1[[Player]:[FP/G]],3,FALSE)</f>
        <v>D</v>
      </c>
      <c r="E499" s="17">
        <f>VLOOKUP(Table4[[#This Row],[Name]],Table1[[Player]:[Age]],5,FALSE)</f>
        <v>24</v>
      </c>
      <c r="F499" s="10">
        <f>MAX(
  _xlfn.IFNA(_xlfn.XLOOKUP(B499,'C'!B:B,'C'!E:E),  -1000000000),
  _xlfn.IFNA(_xlfn.XLOOKUP(B499, LW!B:B, LW!E:E), -1000000000),
  _xlfn.IFNA(_xlfn.XLOOKUP(B499, RW!B:B, RW!E:E), -1000000000),
  _xlfn.IFNA(_xlfn.XLOOKUP(B499, D!B:B,  D!E:E),  -1000000000)
)</f>
        <v>-1.8786285616152403</v>
      </c>
    </row>
    <row r="500" spans="2:6" x14ac:dyDescent="0.25">
      <c r="B500" t="s">
        <v>778</v>
      </c>
      <c r="C500" s="17" t="str">
        <f>VLOOKUP(Table4[[#This Row],[Name]],Table1[[Player]:[Status]],4,FALSE)</f>
        <v>W &lt;small&gt;(Mon)&lt;/small&gt;</v>
      </c>
      <c r="D500" s="17" t="str">
        <f>VLOOKUP(Table4[[#This Row],[Name]],Table1[[Player]:[FP/G]],3,FALSE)</f>
        <v>RW</v>
      </c>
      <c r="E500" s="17">
        <f>VLOOKUP(Table4[[#This Row],[Name]],Table1[[Player]:[Age]],5,FALSE)</f>
        <v>29</v>
      </c>
      <c r="F500" s="10">
        <f>MAX(
  _xlfn.IFNA(_xlfn.XLOOKUP(B500,'C'!B:B,'C'!E:E),  -1000000000),
  _xlfn.IFNA(_xlfn.XLOOKUP(B500, LW!B:B, LW!E:E), -1000000000),
  _xlfn.IFNA(_xlfn.XLOOKUP(B500, RW!B:B, RW!E:E), -1000000000),
  _xlfn.IFNA(_xlfn.XLOOKUP(B500, D!B:B,  D!E:E),  -1000000000)
)</f>
        <v>-1.8855277218938498</v>
      </c>
    </row>
    <row r="501" spans="2:6" x14ac:dyDescent="0.25">
      <c r="B501" t="s">
        <v>1020</v>
      </c>
      <c r="C501" s="17" t="str">
        <f>VLOOKUP(Table4[[#This Row],[Name]],Table1[[Player]:[Status]],4,FALSE)</f>
        <v>W &lt;small&gt;(Mon)&lt;/small&gt;</v>
      </c>
      <c r="D501" s="17" t="str">
        <f>VLOOKUP(Table4[[#This Row],[Name]],Table1[[Player]:[FP/G]],3,FALSE)</f>
        <v>C,LW</v>
      </c>
      <c r="E501" s="17">
        <f>VLOOKUP(Table4[[#This Row],[Name]],Table1[[Player]:[Age]],5,FALSE)</f>
        <v>26</v>
      </c>
      <c r="F501" s="10">
        <f>MAX(
  _xlfn.IFNA(_xlfn.XLOOKUP(B501,'C'!B:B,'C'!E:E),  -1000000000),
  _xlfn.IFNA(_xlfn.XLOOKUP(B501, LW!B:B, LW!E:E), -1000000000),
  _xlfn.IFNA(_xlfn.XLOOKUP(B501, RW!B:B, RW!E:E), -1000000000),
  _xlfn.IFNA(_xlfn.XLOOKUP(B501, D!B:B,  D!E:E),  -1000000000)
)</f>
        <v>-1.8911134040041002</v>
      </c>
    </row>
    <row r="502" spans="2:6" x14ac:dyDescent="0.25">
      <c r="B502" t="s">
        <v>1319</v>
      </c>
      <c r="C502" s="17" t="str">
        <f>VLOOKUP(Table4[[#This Row],[Name]],Table1[[Player]:[Status]],4,FALSE)</f>
        <v>W &lt;small&gt;(Mon)&lt;/small&gt;</v>
      </c>
      <c r="D502" s="17" t="str">
        <f>VLOOKUP(Table4[[#This Row],[Name]],Table1[[Player]:[FP/G]],3,FALSE)</f>
        <v>LW</v>
      </c>
      <c r="E502" s="17">
        <f>VLOOKUP(Table4[[#This Row],[Name]],Table1[[Player]:[Age]],5,FALSE)</f>
        <v>28</v>
      </c>
      <c r="F502" s="10">
        <f>MAX(
  _xlfn.IFNA(_xlfn.XLOOKUP(B502,'C'!B:B,'C'!E:E),  -1000000000),
  _xlfn.IFNA(_xlfn.XLOOKUP(B502, LW!B:B, LW!E:E), -1000000000),
  _xlfn.IFNA(_xlfn.XLOOKUP(B502, RW!B:B, RW!E:E), -1000000000),
  _xlfn.IFNA(_xlfn.XLOOKUP(B502, D!B:B,  D!E:E),  -1000000000)
)</f>
        <v>-1.8927852890802597</v>
      </c>
    </row>
    <row r="503" spans="2:6" x14ac:dyDescent="0.25">
      <c r="B503" t="s">
        <v>686</v>
      </c>
      <c r="C503" s="17" t="str">
        <f>VLOOKUP(Table4[[#This Row],[Name]],Table1[[Player]:[Status]],4,FALSE)</f>
        <v>W &lt;small&gt;(Mon)&lt;/small&gt;</v>
      </c>
      <c r="D503" s="17" t="str">
        <f>VLOOKUP(Table4[[#This Row],[Name]],Table1[[Player]:[FP/G]],3,FALSE)</f>
        <v>LW</v>
      </c>
      <c r="E503" s="17">
        <f>VLOOKUP(Table4[[#This Row],[Name]],Table1[[Player]:[Age]],5,FALSE)</f>
        <v>36</v>
      </c>
      <c r="F503" s="10">
        <f>MAX(
  _xlfn.IFNA(_xlfn.XLOOKUP(B503,'C'!B:B,'C'!E:E),  -1000000000),
  _xlfn.IFNA(_xlfn.XLOOKUP(B503, LW!B:B, LW!E:E), -1000000000),
  _xlfn.IFNA(_xlfn.XLOOKUP(B503, RW!B:B, RW!E:E), -1000000000),
  _xlfn.IFNA(_xlfn.XLOOKUP(B503, D!B:B,  D!E:E),  -1000000000)
)</f>
        <v>-1.8945399109659999</v>
      </c>
    </row>
    <row r="504" spans="2:6" x14ac:dyDescent="0.25">
      <c r="B504" t="s">
        <v>876</v>
      </c>
      <c r="C504" s="17" t="str">
        <f>VLOOKUP(Table4[[#This Row],[Name]],Table1[[Player]:[Status]],4,FALSE)</f>
        <v>W &lt;small&gt;(Mon)&lt;/small&gt;</v>
      </c>
      <c r="D504" s="17" t="str">
        <f>VLOOKUP(Table4[[#This Row],[Name]],Table1[[Player]:[FP/G]],3,FALSE)</f>
        <v>C,RW</v>
      </c>
      <c r="E504" s="17">
        <f>VLOOKUP(Table4[[#This Row],[Name]],Table1[[Player]:[Age]],5,FALSE)</f>
        <v>30</v>
      </c>
      <c r="F504" s="10">
        <f>MAX(
  _xlfn.IFNA(_xlfn.XLOOKUP(B504,'C'!B:B,'C'!E:E),  -1000000000),
  _xlfn.IFNA(_xlfn.XLOOKUP(B504, LW!B:B, LW!E:E), -1000000000),
  _xlfn.IFNA(_xlfn.XLOOKUP(B504, RW!B:B, RW!E:E), -1000000000),
  _xlfn.IFNA(_xlfn.XLOOKUP(B504, D!B:B,  D!E:E),  -1000000000)
)</f>
        <v>-1.8962040275437504</v>
      </c>
    </row>
    <row r="505" spans="2:6" x14ac:dyDescent="0.25">
      <c r="B505" t="s">
        <v>1327</v>
      </c>
      <c r="C505" s="17" t="str">
        <f>VLOOKUP(Table4[[#This Row],[Name]],Table1[[Player]:[Status]],4,FALSE)</f>
        <v>W &lt;small&gt;(Mon)&lt;/small&gt;</v>
      </c>
      <c r="D505" s="17" t="str">
        <f>VLOOKUP(Table4[[#This Row],[Name]],Table1[[Player]:[FP/G]],3,FALSE)</f>
        <v>D</v>
      </c>
      <c r="E505" s="17">
        <f>VLOOKUP(Table4[[#This Row],[Name]],Table1[[Player]:[Age]],5,FALSE)</f>
        <v>31</v>
      </c>
      <c r="F505" s="10">
        <f>MAX(
  _xlfn.IFNA(_xlfn.XLOOKUP(B505,'C'!B:B,'C'!E:E),  -1000000000),
  _xlfn.IFNA(_xlfn.XLOOKUP(B505, LW!B:B, LW!E:E), -1000000000),
  _xlfn.IFNA(_xlfn.XLOOKUP(B505, RW!B:B, RW!E:E), -1000000000),
  _xlfn.IFNA(_xlfn.XLOOKUP(B505, D!B:B,  D!E:E),  -1000000000)
)</f>
        <v>-1.9076117583237402</v>
      </c>
    </row>
    <row r="506" spans="2:6" x14ac:dyDescent="0.25">
      <c r="B506" t="s">
        <v>1178</v>
      </c>
      <c r="C506" s="17" t="str">
        <f>VLOOKUP(Table4[[#This Row],[Name]],Table1[[Player]:[Status]],4,FALSE)</f>
        <v>W &lt;small&gt;(Mon)&lt;/small&gt;</v>
      </c>
      <c r="D506" s="17" t="str">
        <f>VLOOKUP(Table4[[#This Row],[Name]],Table1[[Player]:[FP/G]],3,FALSE)</f>
        <v>D</v>
      </c>
      <c r="E506" s="17">
        <f>VLOOKUP(Table4[[#This Row],[Name]],Table1[[Player]:[Age]],5,FALSE)</f>
        <v>27</v>
      </c>
      <c r="F506" s="10">
        <f>MAX(
  _xlfn.IFNA(_xlfn.XLOOKUP(B506,'C'!B:B,'C'!E:E),  -1000000000),
  _xlfn.IFNA(_xlfn.XLOOKUP(B506, LW!B:B, LW!E:E), -1000000000),
  _xlfn.IFNA(_xlfn.XLOOKUP(B506, RW!B:B, RW!E:E), -1000000000),
  _xlfn.IFNA(_xlfn.XLOOKUP(B506, D!B:B,  D!E:E),  -1000000000)
)</f>
        <v>-1.9092793509934902</v>
      </c>
    </row>
    <row r="507" spans="2:6" x14ac:dyDescent="0.25">
      <c r="B507" t="s">
        <v>1609</v>
      </c>
      <c r="C507" s="17" t="str">
        <f>VLOOKUP(Table4[[#This Row],[Name]],Table1[[Player]:[Status]],4,FALSE)</f>
        <v>W &lt;small&gt;(Mon)&lt;/small&gt;</v>
      </c>
      <c r="D507" s="17" t="str">
        <f>VLOOKUP(Table4[[#This Row],[Name]],Table1[[Player]:[FP/G]],3,FALSE)</f>
        <v>LW,RW</v>
      </c>
      <c r="E507" s="17">
        <f>VLOOKUP(Table4[[#This Row],[Name]],Table1[[Player]:[Age]],5,FALSE)</f>
        <v>25</v>
      </c>
      <c r="F507" s="10">
        <f>MAX(
  _xlfn.IFNA(_xlfn.XLOOKUP(B507,'C'!B:B,'C'!E:E),  -1000000000),
  _xlfn.IFNA(_xlfn.XLOOKUP(B507, LW!B:B, LW!E:E), -1000000000),
  _xlfn.IFNA(_xlfn.XLOOKUP(B507, RW!B:B, RW!E:E), -1000000000),
  _xlfn.IFNA(_xlfn.XLOOKUP(B507, D!B:B,  D!E:E),  -1000000000)
)</f>
        <v>-1.9107423361845899</v>
      </c>
    </row>
    <row r="508" spans="2:6" x14ac:dyDescent="0.25">
      <c r="B508" t="s">
        <v>800</v>
      </c>
      <c r="C508" s="17" t="str">
        <f>VLOOKUP(Table4[[#This Row],[Name]],Table1[[Player]:[Status]],4,FALSE)</f>
        <v>W &lt;small&gt;(Mon)&lt;/small&gt;</v>
      </c>
      <c r="D508" s="17" t="str">
        <f>VLOOKUP(Table4[[#This Row],[Name]],Table1[[Player]:[FP/G]],3,FALSE)</f>
        <v>LW,RW</v>
      </c>
      <c r="E508" s="17">
        <f>VLOOKUP(Table4[[#This Row],[Name]],Table1[[Player]:[Age]],5,FALSE)</f>
        <v>29</v>
      </c>
      <c r="F508" s="10">
        <f>MAX(
  _xlfn.IFNA(_xlfn.XLOOKUP(B508,'C'!B:B,'C'!E:E),  -1000000000),
  _xlfn.IFNA(_xlfn.XLOOKUP(B508, LW!B:B, LW!E:E), -1000000000),
  _xlfn.IFNA(_xlfn.XLOOKUP(B508, RW!B:B, RW!E:E), -1000000000),
  _xlfn.IFNA(_xlfn.XLOOKUP(B508, D!B:B,  D!E:E),  -1000000000)
)</f>
        <v>-1.9210211758536899</v>
      </c>
    </row>
    <row r="509" spans="2:6" x14ac:dyDescent="0.25">
      <c r="B509" t="s">
        <v>836</v>
      </c>
      <c r="C509" s="17" t="str">
        <f>VLOOKUP(Table4[[#This Row],[Name]],Table1[[Player]:[Status]],4,FALSE)</f>
        <v>W &lt;small&gt;(Mon)&lt;/small&gt;</v>
      </c>
      <c r="D509" s="17" t="str">
        <f>VLOOKUP(Table4[[#This Row],[Name]],Table1[[Player]:[FP/G]],3,FALSE)</f>
        <v>C,LW,RW</v>
      </c>
      <c r="E509" s="17">
        <f>VLOOKUP(Table4[[#This Row],[Name]],Table1[[Player]:[Age]],5,FALSE)</f>
        <v>32</v>
      </c>
      <c r="F509" s="10">
        <f>MAX(
  _xlfn.IFNA(_xlfn.XLOOKUP(B509,'C'!B:B,'C'!E:E),  -1000000000),
  _xlfn.IFNA(_xlfn.XLOOKUP(B509, LW!B:B, LW!E:E), -1000000000),
  _xlfn.IFNA(_xlfn.XLOOKUP(B509, RW!B:B, RW!E:E), -1000000000),
  _xlfn.IFNA(_xlfn.XLOOKUP(B509, D!B:B,  D!E:E),  -1000000000)
)</f>
        <v>-1.9396697117403905</v>
      </c>
    </row>
    <row r="510" spans="2:6" x14ac:dyDescent="0.25">
      <c r="B510" t="s">
        <v>966</v>
      </c>
      <c r="C510" s="17" t="str">
        <f>VLOOKUP(Table4[[#This Row],[Name]],Table1[[Player]:[Status]],4,FALSE)</f>
        <v>Adam</v>
      </c>
      <c r="D510" s="17" t="str">
        <f>VLOOKUP(Table4[[#This Row],[Name]],Table1[[Player]:[FP/G]],3,FALSE)</f>
        <v>RW</v>
      </c>
      <c r="E510" s="17">
        <f>VLOOKUP(Table4[[#This Row],[Name]],Table1[[Player]:[Age]],5,FALSE)</f>
        <v>36</v>
      </c>
      <c r="F510" s="10">
        <f>MAX(
  _xlfn.IFNA(_xlfn.XLOOKUP(B510,'C'!B:B,'C'!E:E),  -1000000000),
  _xlfn.IFNA(_xlfn.XLOOKUP(B510, LW!B:B, LW!E:E), -1000000000),
  _xlfn.IFNA(_xlfn.XLOOKUP(B510, RW!B:B, RW!E:E), -1000000000),
  _xlfn.IFNA(_xlfn.XLOOKUP(B510, D!B:B,  D!E:E),  -1000000000)
)</f>
        <v>-1.9587843793200599</v>
      </c>
    </row>
    <row r="511" spans="2:6" x14ac:dyDescent="0.25">
      <c r="B511" t="s">
        <v>1258</v>
      </c>
      <c r="C511" s="17" t="str">
        <f>VLOOKUP(Table4[[#This Row],[Name]],Table1[[Player]:[Status]],4,FALSE)</f>
        <v>W &lt;small&gt;(Mon)&lt;/small&gt;</v>
      </c>
      <c r="D511" s="17" t="str">
        <f>VLOOKUP(Table4[[#This Row],[Name]],Table1[[Player]:[FP/G]],3,FALSE)</f>
        <v>RW</v>
      </c>
      <c r="E511" s="17">
        <f>VLOOKUP(Table4[[#This Row],[Name]],Table1[[Player]:[Age]],5,FALSE)</f>
        <v>28</v>
      </c>
      <c r="F511" s="10">
        <f>MAX(
  _xlfn.IFNA(_xlfn.XLOOKUP(B511,'C'!B:B,'C'!E:E),  -1000000000),
  _xlfn.IFNA(_xlfn.XLOOKUP(B511, LW!B:B, LW!E:E), -1000000000),
  _xlfn.IFNA(_xlfn.XLOOKUP(B511, RW!B:B, RW!E:E), -1000000000),
  _xlfn.IFNA(_xlfn.XLOOKUP(B511, D!B:B,  D!E:E),  -1000000000)
)</f>
        <v>-1.9769258125700797</v>
      </c>
    </row>
    <row r="512" spans="2:6" x14ac:dyDescent="0.25">
      <c r="B512" t="s">
        <v>990</v>
      </c>
      <c r="C512" s="17" t="str">
        <f>VLOOKUP(Table4[[#This Row],[Name]],Table1[[Player]:[Status]],4,FALSE)</f>
        <v>W &lt;small&gt;(Mon)&lt;/small&gt;</v>
      </c>
      <c r="D512" s="17" t="str">
        <f>VLOOKUP(Table4[[#This Row],[Name]],Table1[[Player]:[FP/G]],3,FALSE)</f>
        <v>D</v>
      </c>
      <c r="E512" s="17">
        <f>VLOOKUP(Table4[[#This Row],[Name]],Table1[[Player]:[Age]],5,FALSE)</f>
        <v>38</v>
      </c>
      <c r="F512" s="10">
        <f>MAX(
  _xlfn.IFNA(_xlfn.XLOOKUP(B512,'C'!B:B,'C'!E:E),  -1000000000),
  _xlfn.IFNA(_xlfn.XLOOKUP(B512, LW!B:B, LW!E:E), -1000000000),
  _xlfn.IFNA(_xlfn.XLOOKUP(B512, RW!B:B, RW!E:E), -1000000000),
  _xlfn.IFNA(_xlfn.XLOOKUP(B512, D!B:B,  D!E:E),  -1000000000)
)</f>
        <v>-1.9799017359935103</v>
      </c>
    </row>
    <row r="513" spans="2:6" x14ac:dyDescent="0.25">
      <c r="B513" t="s">
        <v>1232</v>
      </c>
      <c r="C513" s="17" t="str">
        <f>VLOOKUP(Table4[[#This Row],[Name]],Table1[[Player]:[Status]],4,FALSE)</f>
        <v>W &lt;small&gt;(Mon)&lt;/small&gt;</v>
      </c>
      <c r="D513" s="17" t="str">
        <f>VLOOKUP(Table4[[#This Row],[Name]],Table1[[Player]:[FP/G]],3,FALSE)</f>
        <v>C,LW</v>
      </c>
      <c r="E513" s="17">
        <f>VLOOKUP(Table4[[#This Row],[Name]],Table1[[Player]:[Age]],5,FALSE)</f>
        <v>31</v>
      </c>
      <c r="F513" s="10">
        <f>MAX(
  _xlfn.IFNA(_xlfn.XLOOKUP(B513,'C'!B:B,'C'!E:E),  -1000000000),
  _xlfn.IFNA(_xlfn.XLOOKUP(B513, LW!B:B, LW!E:E), -1000000000),
  _xlfn.IFNA(_xlfn.XLOOKUP(B513, RW!B:B, RW!E:E), -1000000000),
  _xlfn.IFNA(_xlfn.XLOOKUP(B513, D!B:B,  D!E:E),  -1000000000)
)</f>
        <v>-1.9800353323026503</v>
      </c>
    </row>
    <row r="514" spans="2:6" x14ac:dyDescent="0.25">
      <c r="B514" t="s">
        <v>1030</v>
      </c>
      <c r="C514" s="17" t="str">
        <f>VLOOKUP(Table4[[#This Row],[Name]],Table1[[Player]:[Status]],4,FALSE)</f>
        <v>W &lt;small&gt;(Mon)&lt;/small&gt;</v>
      </c>
      <c r="D514" s="17" t="str">
        <f>VLOOKUP(Table4[[#This Row],[Name]],Table1[[Player]:[FP/G]],3,FALSE)</f>
        <v>C</v>
      </c>
      <c r="E514" s="17">
        <f>VLOOKUP(Table4[[#This Row],[Name]],Table1[[Player]:[Age]],5,FALSE)</f>
        <v>31</v>
      </c>
      <c r="F514" s="10">
        <f>MAX(
  _xlfn.IFNA(_xlfn.XLOOKUP(B514,'C'!B:B,'C'!E:E),  -1000000000),
  _xlfn.IFNA(_xlfn.XLOOKUP(B514, LW!B:B, LW!E:E), -1000000000),
  _xlfn.IFNA(_xlfn.XLOOKUP(B514, RW!B:B, RW!E:E), -1000000000),
  _xlfn.IFNA(_xlfn.XLOOKUP(B514, D!B:B,  D!E:E),  -1000000000)
)</f>
        <v>-1.9848273755962405</v>
      </c>
    </row>
    <row r="515" spans="2:6" x14ac:dyDescent="0.25">
      <c r="B515" t="s">
        <v>1052</v>
      </c>
      <c r="C515" s="17" t="str">
        <f>VLOOKUP(Table4[[#This Row],[Name]],Table1[[Player]:[Status]],4,FALSE)</f>
        <v>W &lt;small&gt;(Mon)&lt;/small&gt;</v>
      </c>
      <c r="D515" s="17" t="str">
        <f>VLOOKUP(Table4[[#This Row],[Name]],Table1[[Player]:[FP/G]],3,FALSE)</f>
        <v>C</v>
      </c>
      <c r="E515" s="17">
        <f>VLOOKUP(Table4[[#This Row],[Name]],Table1[[Player]:[Age]],5,FALSE)</f>
        <v>33</v>
      </c>
      <c r="F515" s="10">
        <f>MAX(
  _xlfn.IFNA(_xlfn.XLOOKUP(B515,'C'!B:B,'C'!E:E),  -1000000000),
  _xlfn.IFNA(_xlfn.XLOOKUP(B515, LW!B:B, LW!E:E), -1000000000),
  _xlfn.IFNA(_xlfn.XLOOKUP(B515, RW!B:B, RW!E:E), -1000000000),
  _xlfn.IFNA(_xlfn.XLOOKUP(B515, D!B:B,  D!E:E),  -1000000000)
)</f>
        <v>-1.9875696081620204</v>
      </c>
    </row>
    <row r="516" spans="2:6" x14ac:dyDescent="0.25">
      <c r="B516" t="s">
        <v>622</v>
      </c>
      <c r="C516" s="17" t="str">
        <f>VLOOKUP(Table4[[#This Row],[Name]],Table1[[Player]:[Status]],4,FALSE)</f>
        <v>W &lt;small&gt;(Mon)&lt;/small&gt;</v>
      </c>
      <c r="D516" s="17" t="str">
        <f>VLOOKUP(Table4[[#This Row],[Name]],Table1[[Player]:[FP/G]],3,FALSE)</f>
        <v>RW</v>
      </c>
      <c r="E516" s="17">
        <f>VLOOKUP(Table4[[#This Row],[Name]],Table1[[Player]:[Age]],5,FALSE)</f>
        <v>33</v>
      </c>
      <c r="F516" s="10">
        <f>MAX(
  _xlfn.IFNA(_xlfn.XLOOKUP(B516,'C'!B:B,'C'!E:E),  -1000000000),
  _xlfn.IFNA(_xlfn.XLOOKUP(B516, LW!B:B, LW!E:E), -1000000000),
  _xlfn.IFNA(_xlfn.XLOOKUP(B516, RW!B:B, RW!E:E), -1000000000),
  _xlfn.IFNA(_xlfn.XLOOKUP(B516, D!B:B,  D!E:E),  -1000000000)
)</f>
        <v>-1.98847438339111</v>
      </c>
    </row>
    <row r="517" spans="2:6" x14ac:dyDescent="0.25">
      <c r="B517" t="s">
        <v>986</v>
      </c>
      <c r="C517" s="17" t="str">
        <f>VLOOKUP(Table4[[#This Row],[Name]],Table1[[Player]:[Status]],4,FALSE)</f>
        <v>W &lt;small&gt;(Mon)&lt;/small&gt;</v>
      </c>
      <c r="D517" s="17" t="str">
        <f>VLOOKUP(Table4[[#This Row],[Name]],Table1[[Player]:[FP/G]],3,FALSE)</f>
        <v>D</v>
      </c>
      <c r="E517" s="17">
        <f>VLOOKUP(Table4[[#This Row],[Name]],Table1[[Player]:[Age]],5,FALSE)</f>
        <v>37</v>
      </c>
      <c r="F517" s="10">
        <f>MAX(
  _xlfn.IFNA(_xlfn.XLOOKUP(B517,'C'!B:B,'C'!E:E),  -1000000000),
  _xlfn.IFNA(_xlfn.XLOOKUP(B517, LW!B:B, LW!E:E), -1000000000),
  _xlfn.IFNA(_xlfn.XLOOKUP(B517, RW!B:B, RW!E:E), -1000000000),
  _xlfn.IFNA(_xlfn.XLOOKUP(B517, D!B:B,  D!E:E),  -1000000000)
)</f>
        <v>-2.0034104962374899</v>
      </c>
    </row>
    <row r="518" spans="2:6" x14ac:dyDescent="0.25">
      <c r="B518" t="s">
        <v>556</v>
      </c>
      <c r="C518" s="17" t="str">
        <f>VLOOKUP(Table4[[#This Row],[Name]],Table1[[Player]:[Status]],4,FALSE)</f>
        <v>W &lt;small&gt;(Mon)&lt;/small&gt;</v>
      </c>
      <c r="D518" s="17" t="str">
        <f>VLOOKUP(Table4[[#This Row],[Name]],Table1[[Player]:[FP/G]],3,FALSE)</f>
        <v>RW</v>
      </c>
      <c r="E518" s="17">
        <f>VLOOKUP(Table4[[#This Row],[Name]],Table1[[Player]:[Age]],5,FALSE)</f>
        <v>31</v>
      </c>
      <c r="F518" s="10">
        <f>MAX(
  _xlfn.IFNA(_xlfn.XLOOKUP(B518,'C'!B:B,'C'!E:E),  -1000000000),
  _xlfn.IFNA(_xlfn.XLOOKUP(B518, LW!B:B, LW!E:E), -1000000000),
  _xlfn.IFNA(_xlfn.XLOOKUP(B518, RW!B:B, RW!E:E), -1000000000),
  _xlfn.IFNA(_xlfn.XLOOKUP(B518, D!B:B,  D!E:E),  -1000000000)
)</f>
        <v>-2.0125422635407499</v>
      </c>
    </row>
    <row r="519" spans="2:6" x14ac:dyDescent="0.25">
      <c r="B519" t="s">
        <v>924</v>
      </c>
      <c r="C519" s="17" t="str">
        <f>VLOOKUP(Table4[[#This Row],[Name]],Table1[[Player]:[Status]],4,FALSE)</f>
        <v>W &lt;small&gt;(Mon)&lt;/small&gt;</v>
      </c>
      <c r="D519" s="17" t="str">
        <f>VLOOKUP(Table4[[#This Row],[Name]],Table1[[Player]:[FP/G]],3,FALSE)</f>
        <v>LW,RW</v>
      </c>
      <c r="E519" s="17">
        <f>VLOOKUP(Table4[[#This Row],[Name]],Table1[[Player]:[Age]],5,FALSE)</f>
        <v>33</v>
      </c>
      <c r="F519" s="10">
        <f>MAX(
  _xlfn.IFNA(_xlfn.XLOOKUP(B519,'C'!B:B,'C'!E:E),  -1000000000),
  _xlfn.IFNA(_xlfn.XLOOKUP(B519, LW!B:B, LW!E:E), -1000000000),
  _xlfn.IFNA(_xlfn.XLOOKUP(B519, RW!B:B, RW!E:E), -1000000000),
  _xlfn.IFNA(_xlfn.XLOOKUP(B519, D!B:B,  D!E:E),  -1000000000)
)</f>
        <v>-2.0257909331292701</v>
      </c>
    </row>
    <row r="520" spans="2:6" x14ac:dyDescent="0.25">
      <c r="B520" t="s">
        <v>744</v>
      </c>
      <c r="C520" s="17" t="str">
        <f>VLOOKUP(Table4[[#This Row],[Name]],Table1[[Player]:[Status]],4,FALSE)</f>
        <v>W &lt;small&gt;(Mon)&lt;/small&gt;</v>
      </c>
      <c r="D520" s="17" t="str">
        <f>VLOOKUP(Table4[[#This Row],[Name]],Table1[[Player]:[FP/G]],3,FALSE)</f>
        <v>LW,RW</v>
      </c>
      <c r="E520" s="17">
        <f>VLOOKUP(Table4[[#This Row],[Name]],Table1[[Player]:[Age]],5,FALSE)</f>
        <v>29</v>
      </c>
      <c r="F520" s="10">
        <f>MAX(
  _xlfn.IFNA(_xlfn.XLOOKUP(B520,'C'!B:B,'C'!E:E),  -1000000000),
  _xlfn.IFNA(_xlfn.XLOOKUP(B520, LW!B:B, LW!E:E), -1000000000),
  _xlfn.IFNA(_xlfn.XLOOKUP(B520, RW!B:B, RW!E:E), -1000000000),
  _xlfn.IFNA(_xlfn.XLOOKUP(B520, D!B:B,  D!E:E),  -1000000000)
)</f>
        <v>-2.0262032917544097</v>
      </c>
    </row>
    <row r="521" spans="2:6" x14ac:dyDescent="0.25">
      <c r="B521" t="s">
        <v>1626</v>
      </c>
      <c r="C521" s="17" t="str">
        <f>VLOOKUP(Table4[[#This Row],[Name]],Table1[[Player]:[Status]],4,FALSE)</f>
        <v>W &lt;small&gt;(Mon)&lt;/small&gt;</v>
      </c>
      <c r="D521" s="17" t="str">
        <f>VLOOKUP(Table4[[#This Row],[Name]],Table1[[Player]:[FP/G]],3,FALSE)</f>
        <v>LW</v>
      </c>
      <c r="E521" s="17">
        <f>VLOOKUP(Table4[[#This Row],[Name]],Table1[[Player]:[Age]],5,FALSE)</f>
        <v>31</v>
      </c>
      <c r="F521" s="10">
        <f>MAX(
  _xlfn.IFNA(_xlfn.XLOOKUP(B521,'C'!B:B,'C'!E:E),  -1000000000),
  _xlfn.IFNA(_xlfn.XLOOKUP(B521, LW!B:B, LW!E:E), -1000000000),
  _xlfn.IFNA(_xlfn.XLOOKUP(B521, RW!B:B, RW!E:E), -1000000000),
  _xlfn.IFNA(_xlfn.XLOOKUP(B521, D!B:B,  D!E:E),  -1000000000)
)</f>
        <v>-2.0305032394912499</v>
      </c>
    </row>
    <row r="522" spans="2:6" x14ac:dyDescent="0.25">
      <c r="B522" t="s">
        <v>922</v>
      </c>
      <c r="C522" s="17" t="str">
        <f>VLOOKUP(Table4[[#This Row],[Name]],Table1[[Player]:[Status]],4,FALSE)</f>
        <v>W &lt;small&gt;(Mon)&lt;/small&gt;</v>
      </c>
      <c r="D522" s="17" t="str">
        <f>VLOOKUP(Table4[[#This Row],[Name]],Table1[[Player]:[FP/G]],3,FALSE)</f>
        <v>C</v>
      </c>
      <c r="E522" s="17">
        <f>VLOOKUP(Table4[[#This Row],[Name]],Table1[[Player]:[Age]],5,FALSE)</f>
        <v>31</v>
      </c>
      <c r="F522" s="10">
        <f>MAX(
  _xlfn.IFNA(_xlfn.XLOOKUP(B522,'C'!B:B,'C'!E:E),  -1000000000),
  _xlfn.IFNA(_xlfn.XLOOKUP(B522, LW!B:B, LW!E:E), -1000000000),
  _xlfn.IFNA(_xlfn.XLOOKUP(B522, RW!B:B, RW!E:E), -1000000000),
  _xlfn.IFNA(_xlfn.XLOOKUP(B522, D!B:B,  D!E:E),  -1000000000)
)</f>
        <v>-2.0366634520395701</v>
      </c>
    </row>
    <row r="523" spans="2:6" x14ac:dyDescent="0.25">
      <c r="B523" t="s">
        <v>1607</v>
      </c>
      <c r="C523" s="17" t="str">
        <f>VLOOKUP(Table4[[#This Row],[Name]],Table1[[Player]:[Status]],4,FALSE)</f>
        <v>W &lt;small&gt;(Mon)&lt;/small&gt;</v>
      </c>
      <c r="D523" s="17" t="str">
        <f>VLOOKUP(Table4[[#This Row],[Name]],Table1[[Player]:[FP/G]],3,FALSE)</f>
        <v>RW</v>
      </c>
      <c r="E523" s="17">
        <f>VLOOKUP(Table4[[#This Row],[Name]],Table1[[Player]:[Age]],5,FALSE)</f>
        <v>29</v>
      </c>
      <c r="F523" s="10">
        <f>MAX(
  _xlfn.IFNA(_xlfn.XLOOKUP(B523,'C'!B:B,'C'!E:E),  -1000000000),
  _xlfn.IFNA(_xlfn.XLOOKUP(B523, LW!B:B, LW!E:E), -1000000000),
  _xlfn.IFNA(_xlfn.XLOOKUP(B523, RW!B:B, RW!E:E), -1000000000),
  _xlfn.IFNA(_xlfn.XLOOKUP(B523, D!B:B,  D!E:E),  -1000000000)
)</f>
        <v>-2.0424208265849</v>
      </c>
    </row>
    <row r="524" spans="2:6" x14ac:dyDescent="0.25">
      <c r="B524" t="s">
        <v>1142</v>
      </c>
      <c r="C524" s="17" t="str">
        <f>VLOOKUP(Table4[[#This Row],[Name]],Table1[[Player]:[Status]],4,FALSE)</f>
        <v>W &lt;small&gt;(Mon)&lt;/small&gt;</v>
      </c>
      <c r="D524" s="17" t="str">
        <f>VLOOKUP(Table4[[#This Row],[Name]],Table1[[Player]:[FP/G]],3,FALSE)</f>
        <v>D</v>
      </c>
      <c r="E524" s="17">
        <f>VLOOKUP(Table4[[#This Row],[Name]],Table1[[Player]:[Age]],5,FALSE)</f>
        <v>29</v>
      </c>
      <c r="F524" s="10">
        <f>MAX(
  _xlfn.IFNA(_xlfn.XLOOKUP(B524,'C'!B:B,'C'!E:E),  -1000000000),
  _xlfn.IFNA(_xlfn.XLOOKUP(B524, LW!B:B, LW!E:E), -1000000000),
  _xlfn.IFNA(_xlfn.XLOOKUP(B524, RW!B:B, RW!E:E), -1000000000),
  _xlfn.IFNA(_xlfn.XLOOKUP(B524, D!B:B,  D!E:E),  -1000000000)
)</f>
        <v>-2.0483101404884199</v>
      </c>
    </row>
    <row r="525" spans="2:6" x14ac:dyDescent="0.25">
      <c r="B525" t="s">
        <v>578</v>
      </c>
      <c r="C525" s="17" t="str">
        <f>VLOOKUP(Table4[[#This Row],[Name]],Table1[[Player]:[Status]],4,FALSE)</f>
        <v>W &lt;small&gt;(Mon)&lt;/small&gt;</v>
      </c>
      <c r="D525" s="17" t="str">
        <f>VLOOKUP(Table4[[#This Row],[Name]],Table1[[Player]:[FP/G]],3,FALSE)</f>
        <v>LW,RW</v>
      </c>
      <c r="E525" s="17">
        <f>VLOOKUP(Table4[[#This Row],[Name]],Table1[[Player]:[Age]],5,FALSE)</f>
        <v>28</v>
      </c>
      <c r="F525" s="10">
        <f>MAX(
  _xlfn.IFNA(_xlfn.XLOOKUP(B525,'C'!B:B,'C'!E:E),  -1000000000),
  _xlfn.IFNA(_xlfn.XLOOKUP(B525, LW!B:B, LW!E:E), -1000000000),
  _xlfn.IFNA(_xlfn.XLOOKUP(B525, RW!B:B, RW!E:E), -1000000000),
  _xlfn.IFNA(_xlfn.XLOOKUP(B525, D!B:B,  D!E:E),  -1000000000)
)</f>
        <v>-2.0493159485269499</v>
      </c>
    </row>
    <row r="526" spans="2:6" x14ac:dyDescent="0.25">
      <c r="B526" t="s">
        <v>1156</v>
      </c>
      <c r="C526" s="17" t="str">
        <f>VLOOKUP(Table4[[#This Row],[Name]],Table1[[Player]:[Status]],4,FALSE)</f>
        <v>W &lt;small&gt;(Mon)&lt;/small&gt;</v>
      </c>
      <c r="D526" s="17" t="str">
        <f>VLOOKUP(Table4[[#This Row],[Name]],Table1[[Player]:[FP/G]],3,FALSE)</f>
        <v>C,LW</v>
      </c>
      <c r="E526" s="17">
        <f>VLOOKUP(Table4[[#This Row],[Name]],Table1[[Player]:[Age]],5,FALSE)</f>
        <v>31</v>
      </c>
      <c r="F526" s="10">
        <f>MAX(
  _xlfn.IFNA(_xlfn.XLOOKUP(B526,'C'!B:B,'C'!E:E),  -1000000000),
  _xlfn.IFNA(_xlfn.XLOOKUP(B526, LW!B:B, LW!E:E), -1000000000),
  _xlfn.IFNA(_xlfn.XLOOKUP(B526, RW!B:B, RW!E:E), -1000000000),
  _xlfn.IFNA(_xlfn.XLOOKUP(B526, D!B:B,  D!E:E),  -1000000000)
)</f>
        <v>-2.0509293400336404</v>
      </c>
    </row>
    <row r="527" spans="2:6" x14ac:dyDescent="0.25">
      <c r="B527" t="s">
        <v>502</v>
      </c>
      <c r="C527" s="17" t="str">
        <f>VLOOKUP(Table4[[#This Row],[Name]],Table1[[Player]:[Status]],4,FALSE)</f>
        <v>W &lt;small&gt;(Mon)&lt;/small&gt;</v>
      </c>
      <c r="D527" s="17" t="str">
        <f>VLOOKUP(Table4[[#This Row],[Name]],Table1[[Player]:[FP/G]],3,FALSE)</f>
        <v>LW,RW</v>
      </c>
      <c r="E527" s="17">
        <f>VLOOKUP(Table4[[#This Row],[Name]],Table1[[Player]:[Age]],5,FALSE)</f>
        <v>28</v>
      </c>
      <c r="F527" s="10">
        <f>MAX(
  _xlfn.IFNA(_xlfn.XLOOKUP(B527,'C'!B:B,'C'!E:E),  -1000000000),
  _xlfn.IFNA(_xlfn.XLOOKUP(B527, LW!B:B, LW!E:E), -1000000000),
  _xlfn.IFNA(_xlfn.XLOOKUP(B527, RW!B:B, RW!E:E), -1000000000),
  _xlfn.IFNA(_xlfn.XLOOKUP(B527, D!B:B,  D!E:E),  -1000000000)
)</f>
        <v>-2.0604309849412297</v>
      </c>
    </row>
    <row r="528" spans="2:6" x14ac:dyDescent="0.25">
      <c r="B528" t="s">
        <v>1116</v>
      </c>
      <c r="C528" s="17" t="str">
        <f>VLOOKUP(Table4[[#This Row],[Name]],Table1[[Player]:[Status]],4,FALSE)</f>
        <v>W &lt;small&gt;(Mon)&lt;/small&gt;</v>
      </c>
      <c r="D528" s="17" t="str">
        <f>VLOOKUP(Table4[[#This Row],[Name]],Table1[[Player]:[FP/G]],3,FALSE)</f>
        <v>C,LW,RW</v>
      </c>
      <c r="E528" s="17">
        <f>VLOOKUP(Table4[[#This Row],[Name]],Table1[[Player]:[Age]],5,FALSE)</f>
        <v>30</v>
      </c>
      <c r="F528" s="10">
        <f>MAX(
  _xlfn.IFNA(_xlfn.XLOOKUP(B528,'C'!B:B,'C'!E:E),  -1000000000),
  _xlfn.IFNA(_xlfn.XLOOKUP(B528, LW!B:B, LW!E:E), -1000000000),
  _xlfn.IFNA(_xlfn.XLOOKUP(B528, RW!B:B, RW!E:E), -1000000000),
  _xlfn.IFNA(_xlfn.XLOOKUP(B528, D!B:B,  D!E:E),  -1000000000)
)</f>
        <v>-2.0638783244896803</v>
      </c>
    </row>
    <row r="529" spans="2:6" x14ac:dyDescent="0.25">
      <c r="B529" t="s">
        <v>1028</v>
      </c>
      <c r="C529" s="17" t="str">
        <f>VLOOKUP(Table4[[#This Row],[Name]],Table1[[Player]:[Status]],4,FALSE)</f>
        <v>W &lt;small&gt;(Mon)&lt;/small&gt;</v>
      </c>
      <c r="D529" s="17" t="str">
        <f>VLOOKUP(Table4[[#This Row],[Name]],Table1[[Player]:[FP/G]],3,FALSE)</f>
        <v>C</v>
      </c>
      <c r="E529" s="17">
        <f>VLOOKUP(Table4[[#This Row],[Name]],Table1[[Player]:[Age]],5,FALSE)</f>
        <v>30</v>
      </c>
      <c r="F529" s="10">
        <f>MAX(
  _xlfn.IFNA(_xlfn.XLOOKUP(B529,'C'!B:B,'C'!E:E),  -1000000000),
  _xlfn.IFNA(_xlfn.XLOOKUP(B529, LW!B:B, LW!E:E), -1000000000),
  _xlfn.IFNA(_xlfn.XLOOKUP(B529, RW!B:B, RW!E:E), -1000000000),
  _xlfn.IFNA(_xlfn.XLOOKUP(B529, D!B:B,  D!E:E),  -1000000000)
)</f>
        <v>-2.0725849856018703</v>
      </c>
    </row>
    <row r="530" spans="2:6" x14ac:dyDescent="0.25">
      <c r="B530" t="s">
        <v>1078</v>
      </c>
      <c r="C530" s="17" t="str">
        <f>VLOOKUP(Table4[[#This Row],[Name]],Table1[[Player]:[Status]],4,FALSE)</f>
        <v>W &lt;small&gt;(Mon)&lt;/small&gt;</v>
      </c>
      <c r="D530" s="17" t="str">
        <f>VLOOKUP(Table4[[#This Row],[Name]],Table1[[Player]:[FP/G]],3,FALSE)</f>
        <v>LW</v>
      </c>
      <c r="E530" s="17">
        <f>VLOOKUP(Table4[[#This Row],[Name]],Table1[[Player]:[Age]],5,FALSE)</f>
        <v>32</v>
      </c>
      <c r="F530" s="10">
        <f>MAX(
  _xlfn.IFNA(_xlfn.XLOOKUP(B530,'C'!B:B,'C'!E:E),  -1000000000),
  _xlfn.IFNA(_xlfn.XLOOKUP(B530, LW!B:B, LW!E:E), -1000000000),
  _xlfn.IFNA(_xlfn.XLOOKUP(B530, RW!B:B, RW!E:E), -1000000000),
  _xlfn.IFNA(_xlfn.XLOOKUP(B530, D!B:B,  D!E:E),  -1000000000)
)</f>
        <v>-2.0740985527169697</v>
      </c>
    </row>
    <row r="531" spans="2:6" x14ac:dyDescent="0.25">
      <c r="B531" t="s">
        <v>1036</v>
      </c>
      <c r="C531" s="17" t="str">
        <f>VLOOKUP(Table4[[#This Row],[Name]],Table1[[Player]:[Status]],4,FALSE)</f>
        <v>W &lt;small&gt;(Mon)&lt;/small&gt;</v>
      </c>
      <c r="D531" s="17" t="str">
        <f>VLOOKUP(Table4[[#This Row],[Name]],Table1[[Player]:[FP/G]],3,FALSE)</f>
        <v>C,LW</v>
      </c>
      <c r="E531" s="17">
        <f>VLOOKUP(Table4[[#This Row],[Name]],Table1[[Player]:[Age]],5,FALSE)</f>
        <v>34</v>
      </c>
      <c r="F531" s="10">
        <f>MAX(
  _xlfn.IFNA(_xlfn.XLOOKUP(B531,'C'!B:B,'C'!E:E),  -1000000000),
  _xlfn.IFNA(_xlfn.XLOOKUP(B531, LW!B:B, LW!E:E), -1000000000),
  _xlfn.IFNA(_xlfn.XLOOKUP(B531, RW!B:B, RW!E:E), -1000000000),
  _xlfn.IFNA(_xlfn.XLOOKUP(B531, D!B:B,  D!E:E),  -1000000000)
)</f>
        <v>-2.0953211820680404</v>
      </c>
    </row>
    <row r="532" spans="2:6" x14ac:dyDescent="0.25">
      <c r="B532" t="s">
        <v>1637</v>
      </c>
      <c r="C532" s="17" t="str">
        <f>VLOOKUP(Table4[[#This Row],[Name]],Table1[[Player]:[Status]],4,FALSE)</f>
        <v>W &lt;small&gt;(Mon)&lt;/small&gt;</v>
      </c>
      <c r="D532" s="17" t="str">
        <f>VLOOKUP(Table4[[#This Row],[Name]],Table1[[Player]:[FP/G]],3,FALSE)</f>
        <v>D</v>
      </c>
      <c r="E532" s="17">
        <f>VLOOKUP(Table4[[#This Row],[Name]],Table1[[Player]:[Age]],5,FALSE)</f>
        <v>33</v>
      </c>
      <c r="F532" s="10">
        <f>MAX(
  _xlfn.IFNA(_xlfn.XLOOKUP(B532,'C'!B:B,'C'!E:E),  -1000000000),
  _xlfn.IFNA(_xlfn.XLOOKUP(B532, LW!B:B, LW!E:E), -1000000000),
  _xlfn.IFNA(_xlfn.XLOOKUP(B532, RW!B:B, RW!E:E), -1000000000),
  _xlfn.IFNA(_xlfn.XLOOKUP(B532, D!B:B,  D!E:E),  -1000000000)
)</f>
        <v>-2.0964551237669804</v>
      </c>
    </row>
    <row r="533" spans="2:6" x14ac:dyDescent="0.25">
      <c r="B533" t="s">
        <v>632</v>
      </c>
      <c r="C533" s="17" t="str">
        <f>VLOOKUP(Table4[[#This Row],[Name]],Table1[[Player]:[Status]],4,FALSE)</f>
        <v>W &lt;small&gt;(Mon)&lt;/small&gt;</v>
      </c>
      <c r="D533" s="17" t="str">
        <f>VLOOKUP(Table4[[#This Row],[Name]],Table1[[Player]:[FP/G]],3,FALSE)</f>
        <v>RW</v>
      </c>
      <c r="E533" s="17">
        <f>VLOOKUP(Table4[[#This Row],[Name]],Table1[[Player]:[Age]],5,FALSE)</f>
        <v>24</v>
      </c>
      <c r="F533" s="10">
        <f>MAX(
  _xlfn.IFNA(_xlfn.XLOOKUP(B533,'C'!B:B,'C'!E:E),  -1000000000),
  _xlfn.IFNA(_xlfn.XLOOKUP(B533, LW!B:B, LW!E:E), -1000000000),
  _xlfn.IFNA(_xlfn.XLOOKUP(B533, RW!B:B, RW!E:E), -1000000000),
  _xlfn.IFNA(_xlfn.XLOOKUP(B533, D!B:B,  D!E:E),  -1000000000)
)</f>
        <v>-2.0986097153343897</v>
      </c>
    </row>
    <row r="534" spans="2:6" x14ac:dyDescent="0.25">
      <c r="B534" t="s">
        <v>684</v>
      </c>
      <c r="C534" s="17" t="str">
        <f>VLOOKUP(Table4[[#This Row],[Name]],Table1[[Player]:[Status]],4,FALSE)</f>
        <v>W &lt;small&gt;(Mon)&lt;/small&gt;</v>
      </c>
      <c r="D534" s="17" t="str">
        <f>VLOOKUP(Table4[[#This Row],[Name]],Table1[[Player]:[FP/G]],3,FALSE)</f>
        <v>RW</v>
      </c>
      <c r="E534" s="17">
        <f>VLOOKUP(Table4[[#This Row],[Name]],Table1[[Player]:[Age]],5,FALSE)</f>
        <v>24</v>
      </c>
      <c r="F534" s="10">
        <f>MAX(
  _xlfn.IFNA(_xlfn.XLOOKUP(B534,'C'!B:B,'C'!E:E),  -1000000000),
  _xlfn.IFNA(_xlfn.XLOOKUP(B534, LW!B:B, LW!E:E), -1000000000),
  _xlfn.IFNA(_xlfn.XLOOKUP(B534, RW!B:B, RW!E:E), -1000000000),
  _xlfn.IFNA(_xlfn.XLOOKUP(B534, D!B:B,  D!E:E),  -1000000000)
)</f>
        <v>-2.1119151498015798</v>
      </c>
    </row>
    <row r="535" spans="2:6" x14ac:dyDescent="0.25">
      <c r="B535" t="s">
        <v>1092</v>
      </c>
      <c r="C535" s="17" t="str">
        <f>VLOOKUP(Table4[[#This Row],[Name]],Table1[[Player]:[Status]],4,FALSE)</f>
        <v>W &lt;small&gt;(Mon)&lt;/small&gt;</v>
      </c>
      <c r="D535" s="17" t="str">
        <f>VLOOKUP(Table4[[#This Row],[Name]],Table1[[Player]:[FP/G]],3,FALSE)</f>
        <v>D</v>
      </c>
      <c r="E535" s="17">
        <f>VLOOKUP(Table4[[#This Row],[Name]],Table1[[Player]:[Age]],5,FALSE)</f>
        <v>36</v>
      </c>
      <c r="F535" s="10">
        <f>MAX(
  _xlfn.IFNA(_xlfn.XLOOKUP(B535,'C'!B:B,'C'!E:E),  -1000000000),
  _xlfn.IFNA(_xlfn.XLOOKUP(B535, LW!B:B, LW!E:E), -1000000000),
  _xlfn.IFNA(_xlfn.XLOOKUP(B535, RW!B:B, RW!E:E), -1000000000),
  _xlfn.IFNA(_xlfn.XLOOKUP(B535, D!B:B,  D!E:E),  -1000000000)
)</f>
        <v>-2.1128828076825599</v>
      </c>
    </row>
    <row r="536" spans="2:6" x14ac:dyDescent="0.25">
      <c r="B536" t="s">
        <v>982</v>
      </c>
      <c r="C536" s="17" t="str">
        <f>VLOOKUP(Table4[[#This Row],[Name]],Table1[[Player]:[Status]],4,FALSE)</f>
        <v>W &lt;small&gt;(Mon)&lt;/small&gt;</v>
      </c>
      <c r="D536" s="17" t="str">
        <f>VLOOKUP(Table4[[#This Row],[Name]],Table1[[Player]:[FP/G]],3,FALSE)</f>
        <v>LW,RW</v>
      </c>
      <c r="E536" s="17">
        <f>VLOOKUP(Table4[[#This Row],[Name]],Table1[[Player]:[Age]],5,FALSE)</f>
        <v>32</v>
      </c>
      <c r="F536" s="10">
        <f>MAX(
  _xlfn.IFNA(_xlfn.XLOOKUP(B536,'C'!B:B,'C'!E:E),  -1000000000),
  _xlfn.IFNA(_xlfn.XLOOKUP(B536, LW!B:B, LW!E:E), -1000000000),
  _xlfn.IFNA(_xlfn.XLOOKUP(B536, RW!B:B, RW!E:E), -1000000000),
  _xlfn.IFNA(_xlfn.XLOOKUP(B536, D!B:B,  D!E:E),  -1000000000)
)</f>
        <v>-2.1542777753642599</v>
      </c>
    </row>
    <row r="537" spans="2:6" x14ac:dyDescent="0.25">
      <c r="B537" t="s">
        <v>932</v>
      </c>
      <c r="C537" s="17" t="str">
        <f>VLOOKUP(Table4[[#This Row],[Name]],Table1[[Player]:[Status]],4,FALSE)</f>
        <v>W &lt;small&gt;(Mon)&lt;/small&gt;</v>
      </c>
      <c r="D537" s="17" t="str">
        <f>VLOOKUP(Table4[[#This Row],[Name]],Table1[[Player]:[FP/G]],3,FALSE)</f>
        <v>LW,RW</v>
      </c>
      <c r="E537" s="17">
        <f>VLOOKUP(Table4[[#This Row],[Name]],Table1[[Player]:[Age]],5,FALSE)</f>
        <v>30</v>
      </c>
      <c r="F537" s="10">
        <f>MAX(
  _xlfn.IFNA(_xlfn.XLOOKUP(B537,'C'!B:B,'C'!E:E),  -1000000000),
  _xlfn.IFNA(_xlfn.XLOOKUP(B537, LW!B:B, LW!E:E), -1000000000),
  _xlfn.IFNA(_xlfn.XLOOKUP(B537, RW!B:B, RW!E:E), -1000000000),
  _xlfn.IFNA(_xlfn.XLOOKUP(B537, D!B:B,  D!E:E),  -1000000000)
)</f>
        <v>-2.1597179801590998</v>
      </c>
    </row>
    <row r="538" spans="2:6" x14ac:dyDescent="0.25">
      <c r="B538" t="s">
        <v>866</v>
      </c>
      <c r="C538" s="17" t="str">
        <f>VLOOKUP(Table4[[#This Row],[Name]],Table1[[Player]:[Status]],4,FALSE)</f>
        <v>W &lt;small&gt;(Mon)&lt;/small&gt;</v>
      </c>
      <c r="D538" s="17" t="str">
        <f>VLOOKUP(Table4[[#This Row],[Name]],Table1[[Player]:[FP/G]],3,FALSE)</f>
        <v>C,RW</v>
      </c>
      <c r="E538" s="17">
        <f>VLOOKUP(Table4[[#This Row],[Name]],Table1[[Player]:[Age]],5,FALSE)</f>
        <v>33</v>
      </c>
      <c r="F538" s="10">
        <f>MAX(
  _xlfn.IFNA(_xlfn.XLOOKUP(B538,'C'!B:B,'C'!E:E),  -1000000000),
  _xlfn.IFNA(_xlfn.XLOOKUP(B538, LW!B:B, LW!E:E), -1000000000),
  _xlfn.IFNA(_xlfn.XLOOKUP(B538, RW!B:B, RW!E:E), -1000000000),
  _xlfn.IFNA(_xlfn.XLOOKUP(B538, D!B:B,  D!E:E),  -1000000000)
)</f>
        <v>-2.1601658459210102</v>
      </c>
    </row>
    <row r="539" spans="2:6" x14ac:dyDescent="0.25">
      <c r="B539" t="s">
        <v>884</v>
      </c>
      <c r="C539" s="17" t="str">
        <f>VLOOKUP(Table4[[#This Row],[Name]],Table1[[Player]:[Status]],4,FALSE)</f>
        <v>W &lt;small&gt;(Mon)&lt;/small&gt;</v>
      </c>
      <c r="D539" s="17" t="str">
        <f>VLOOKUP(Table4[[#This Row],[Name]],Table1[[Player]:[FP/G]],3,FALSE)</f>
        <v>LW</v>
      </c>
      <c r="E539" s="17">
        <f>VLOOKUP(Table4[[#This Row],[Name]],Table1[[Player]:[Age]],5,FALSE)</f>
        <v>34</v>
      </c>
      <c r="F539" s="10">
        <f>MAX(
  _xlfn.IFNA(_xlfn.XLOOKUP(B539,'C'!B:B,'C'!E:E),  -1000000000),
  _xlfn.IFNA(_xlfn.XLOOKUP(B539, LW!B:B, LW!E:E), -1000000000),
  _xlfn.IFNA(_xlfn.XLOOKUP(B539, RW!B:B, RW!E:E), -1000000000),
  _xlfn.IFNA(_xlfn.XLOOKUP(B539, D!B:B,  D!E:E),  -1000000000)
)</f>
        <v>-2.1691255231081299</v>
      </c>
    </row>
    <row r="540" spans="2:6" x14ac:dyDescent="0.25">
      <c r="B540" t="s">
        <v>776</v>
      </c>
      <c r="C540" s="17" t="str">
        <f>VLOOKUP(Table4[[#This Row],[Name]],Table1[[Player]:[Status]],4,FALSE)</f>
        <v>W &lt;small&gt;(Mon)&lt;/small&gt;</v>
      </c>
      <c r="D540" s="17" t="str">
        <f>VLOOKUP(Table4[[#This Row],[Name]],Table1[[Player]:[FP/G]],3,FALSE)</f>
        <v>LW,RW</v>
      </c>
      <c r="E540" s="17">
        <f>VLOOKUP(Table4[[#This Row],[Name]],Table1[[Player]:[Age]],5,FALSE)</f>
        <v>27</v>
      </c>
      <c r="F540" s="10">
        <f>MAX(
  _xlfn.IFNA(_xlfn.XLOOKUP(B540,'C'!B:B,'C'!E:E),  -1000000000),
  _xlfn.IFNA(_xlfn.XLOOKUP(B540, LW!B:B, LW!E:E), -1000000000),
  _xlfn.IFNA(_xlfn.XLOOKUP(B540, RW!B:B, RW!E:E), -1000000000),
  _xlfn.IFNA(_xlfn.XLOOKUP(B540, D!B:B,  D!E:E),  -1000000000)
)</f>
        <v>-2.1804462572893897</v>
      </c>
    </row>
    <row r="541" spans="2:6" x14ac:dyDescent="0.25">
      <c r="B541" t="s">
        <v>648</v>
      </c>
      <c r="C541" s="17" t="str">
        <f>VLOOKUP(Table4[[#This Row],[Name]],Table1[[Player]:[Status]],4,FALSE)</f>
        <v>W &lt;small&gt;(Mon)&lt;/small&gt;</v>
      </c>
      <c r="D541" s="17" t="str">
        <f>VLOOKUP(Table4[[#This Row],[Name]],Table1[[Player]:[FP/G]],3,FALSE)</f>
        <v>LW,RW</v>
      </c>
      <c r="E541" s="17">
        <f>VLOOKUP(Table4[[#This Row],[Name]],Table1[[Player]:[Age]],5,FALSE)</f>
        <v>28</v>
      </c>
      <c r="F541" s="10">
        <f>MAX(
  _xlfn.IFNA(_xlfn.XLOOKUP(B541,'C'!B:B,'C'!E:E),  -1000000000),
  _xlfn.IFNA(_xlfn.XLOOKUP(B541, LW!B:B, LW!E:E), -1000000000),
  _xlfn.IFNA(_xlfn.XLOOKUP(B541, RW!B:B, RW!E:E), -1000000000),
  _xlfn.IFNA(_xlfn.XLOOKUP(B541, D!B:B,  D!E:E),  -1000000000)
)</f>
        <v>-2.18243491688856</v>
      </c>
    </row>
    <row r="542" spans="2:6" x14ac:dyDescent="0.25">
      <c r="B542" t="s">
        <v>1114</v>
      </c>
      <c r="C542" s="17" t="str">
        <f>VLOOKUP(Table4[[#This Row],[Name]],Table1[[Player]:[Status]],4,FALSE)</f>
        <v>W &lt;small&gt;(Mon)&lt;/small&gt;</v>
      </c>
      <c r="D542" s="17" t="str">
        <f>VLOOKUP(Table4[[#This Row],[Name]],Table1[[Player]:[FP/G]],3,FALSE)</f>
        <v>D</v>
      </c>
      <c r="E542" s="17">
        <f>VLOOKUP(Table4[[#This Row],[Name]],Table1[[Player]:[Age]],5,FALSE)</f>
        <v>29</v>
      </c>
      <c r="F542" s="10">
        <f>MAX(
  _xlfn.IFNA(_xlfn.XLOOKUP(B542,'C'!B:B,'C'!E:E),  -1000000000),
  _xlfn.IFNA(_xlfn.XLOOKUP(B542, LW!B:B, LW!E:E), -1000000000),
  _xlfn.IFNA(_xlfn.XLOOKUP(B542, RW!B:B, RW!E:E), -1000000000),
  _xlfn.IFNA(_xlfn.XLOOKUP(B542, D!B:B,  D!E:E),  -1000000000)
)</f>
        <v>-2.1844677398426002</v>
      </c>
    </row>
    <row r="543" spans="2:6" x14ac:dyDescent="0.25">
      <c r="B543" t="s">
        <v>1616</v>
      </c>
      <c r="C543" s="17" t="str">
        <f>VLOOKUP(Table4[[#This Row],[Name]],Table1[[Player]:[Status]],4,FALSE)</f>
        <v>W &lt;small&gt;(Mon)&lt;/small&gt;</v>
      </c>
      <c r="D543" s="17" t="str">
        <f>VLOOKUP(Table4[[#This Row],[Name]],Table1[[Player]:[FP/G]],3,FALSE)</f>
        <v>C,LW</v>
      </c>
      <c r="E543" s="17">
        <f>VLOOKUP(Table4[[#This Row],[Name]],Table1[[Player]:[Age]],5,FALSE)</f>
        <v>24</v>
      </c>
      <c r="F543" s="10">
        <f>MAX(
  _xlfn.IFNA(_xlfn.XLOOKUP(B543,'C'!B:B,'C'!E:E),  -1000000000),
  _xlfn.IFNA(_xlfn.XLOOKUP(B543, LW!B:B, LW!E:E), -1000000000),
  _xlfn.IFNA(_xlfn.XLOOKUP(B543, RW!B:B, RW!E:E), -1000000000),
  _xlfn.IFNA(_xlfn.XLOOKUP(B543, D!B:B,  D!E:E),  -1000000000)
)</f>
        <v>-2.1930479853801703</v>
      </c>
    </row>
    <row r="544" spans="2:6" x14ac:dyDescent="0.25">
      <c r="B544" t="s">
        <v>1152</v>
      </c>
      <c r="C544" s="17" t="str">
        <f>VLOOKUP(Table4[[#This Row],[Name]],Table1[[Player]:[Status]],4,FALSE)</f>
        <v>W &lt;small&gt;(Mon)&lt;/small&gt;</v>
      </c>
      <c r="D544" s="17" t="str">
        <f>VLOOKUP(Table4[[#This Row],[Name]],Table1[[Player]:[FP/G]],3,FALSE)</f>
        <v>LW</v>
      </c>
      <c r="E544" s="17">
        <f>VLOOKUP(Table4[[#This Row],[Name]],Table1[[Player]:[Age]],5,FALSE)</f>
        <v>33</v>
      </c>
      <c r="F544" s="10">
        <f>MAX(
  _xlfn.IFNA(_xlfn.XLOOKUP(B544,'C'!B:B,'C'!E:E),  -1000000000),
  _xlfn.IFNA(_xlfn.XLOOKUP(B544, LW!B:B, LW!E:E), -1000000000),
  _xlfn.IFNA(_xlfn.XLOOKUP(B544, RW!B:B, RW!E:E), -1000000000),
  _xlfn.IFNA(_xlfn.XLOOKUP(B544, D!B:B,  D!E:E),  -1000000000)
)</f>
        <v>-2.21688237750572</v>
      </c>
    </row>
    <row r="545" spans="2:6" x14ac:dyDescent="0.25">
      <c r="B545" t="s">
        <v>610</v>
      </c>
      <c r="C545" s="17" t="str">
        <f>VLOOKUP(Table4[[#This Row],[Name]],Table1[[Player]:[Status]],4,FALSE)</f>
        <v>W &lt;small&gt;(Mon)&lt;/small&gt;</v>
      </c>
      <c r="D545" s="17" t="str">
        <f>VLOOKUP(Table4[[#This Row],[Name]],Table1[[Player]:[FP/G]],3,FALSE)</f>
        <v>LW,RW</v>
      </c>
      <c r="E545" s="17">
        <f>VLOOKUP(Table4[[#This Row],[Name]],Table1[[Player]:[Age]],5,FALSE)</f>
        <v>33</v>
      </c>
      <c r="F545" s="10">
        <f>MAX(
  _xlfn.IFNA(_xlfn.XLOOKUP(B545,'C'!B:B,'C'!E:E),  -1000000000),
  _xlfn.IFNA(_xlfn.XLOOKUP(B545, LW!B:B, LW!E:E), -1000000000),
  _xlfn.IFNA(_xlfn.XLOOKUP(B545, RW!B:B, RW!E:E), -1000000000),
  _xlfn.IFNA(_xlfn.XLOOKUP(B545, D!B:B,  D!E:E),  -1000000000)
)</f>
        <v>-2.2396858559172999</v>
      </c>
    </row>
    <row r="546" spans="2:6" x14ac:dyDescent="0.25">
      <c r="B546" t="s">
        <v>994</v>
      </c>
      <c r="C546" s="17" t="str">
        <f>VLOOKUP(Table4[[#This Row],[Name]],Table1[[Player]:[Status]],4,FALSE)</f>
        <v>W &lt;small&gt;(Mon)&lt;/small&gt;</v>
      </c>
      <c r="D546" s="17" t="str">
        <f>VLOOKUP(Table4[[#This Row],[Name]],Table1[[Player]:[FP/G]],3,FALSE)</f>
        <v>LW</v>
      </c>
      <c r="E546" s="17">
        <f>VLOOKUP(Table4[[#This Row],[Name]],Table1[[Player]:[Age]],5,FALSE)</f>
        <v>30</v>
      </c>
      <c r="F546" s="10">
        <f>MAX(
  _xlfn.IFNA(_xlfn.XLOOKUP(B546,'C'!B:B,'C'!E:E),  -1000000000),
  _xlfn.IFNA(_xlfn.XLOOKUP(B546, LW!B:B, LW!E:E), -1000000000),
  _xlfn.IFNA(_xlfn.XLOOKUP(B546, RW!B:B, RW!E:E), -1000000000),
  _xlfn.IFNA(_xlfn.XLOOKUP(B546, D!B:B,  D!E:E),  -1000000000)
)</f>
        <v>-2.25296827232353</v>
      </c>
    </row>
    <row r="547" spans="2:6" x14ac:dyDescent="0.25">
      <c r="B547" t="s">
        <v>772</v>
      </c>
      <c r="C547" s="17" t="str">
        <f>VLOOKUP(Table4[[#This Row],[Name]],Table1[[Player]:[Status]],4,FALSE)</f>
        <v>W &lt;small&gt;(Mon)&lt;/small&gt;</v>
      </c>
      <c r="D547" s="17" t="str">
        <f>VLOOKUP(Table4[[#This Row],[Name]],Table1[[Player]:[FP/G]],3,FALSE)</f>
        <v>LW,RW</v>
      </c>
      <c r="E547" s="17">
        <f>VLOOKUP(Table4[[#This Row],[Name]],Table1[[Player]:[Age]],5,FALSE)</f>
        <v>26</v>
      </c>
      <c r="F547" s="10">
        <f>MAX(
  _xlfn.IFNA(_xlfn.XLOOKUP(B547,'C'!B:B,'C'!E:E),  -1000000000),
  _xlfn.IFNA(_xlfn.XLOOKUP(B547, LW!B:B, LW!E:E), -1000000000),
  _xlfn.IFNA(_xlfn.XLOOKUP(B547, RW!B:B, RW!E:E), -1000000000),
  _xlfn.IFNA(_xlfn.XLOOKUP(B547, D!B:B,  D!E:E),  -1000000000)
)</f>
        <v>-2.2591820903536499</v>
      </c>
    </row>
    <row r="548" spans="2:6" x14ac:dyDescent="0.25">
      <c r="B548" t="s">
        <v>1006</v>
      </c>
      <c r="C548" s="17" t="str">
        <f>VLOOKUP(Table4[[#This Row],[Name]],Table1[[Player]:[Status]],4,FALSE)</f>
        <v>W &lt;small&gt;(Mon)&lt;/small&gt;</v>
      </c>
      <c r="D548" s="17" t="str">
        <f>VLOOKUP(Table4[[#This Row],[Name]],Table1[[Player]:[FP/G]],3,FALSE)</f>
        <v>C</v>
      </c>
      <c r="E548" s="17">
        <f>VLOOKUP(Table4[[#This Row],[Name]],Table1[[Player]:[Age]],5,FALSE)</f>
        <v>27</v>
      </c>
      <c r="F548" s="10">
        <f>MAX(
  _xlfn.IFNA(_xlfn.XLOOKUP(B548,'C'!B:B,'C'!E:E),  -1000000000),
  _xlfn.IFNA(_xlfn.XLOOKUP(B548, LW!B:B, LW!E:E), -1000000000),
  _xlfn.IFNA(_xlfn.XLOOKUP(B548, RW!B:B, RW!E:E), -1000000000),
  _xlfn.IFNA(_xlfn.XLOOKUP(B548, D!B:B,  D!E:E),  -1000000000)
)</f>
        <v>-2.2649793152080204</v>
      </c>
    </row>
    <row r="549" spans="2:6" x14ac:dyDescent="0.25">
      <c r="B549" t="s">
        <v>1333</v>
      </c>
      <c r="C549" s="17" t="str">
        <f>VLOOKUP(Table4[[#This Row],[Name]],Table1[[Player]:[Status]],4,FALSE)</f>
        <v>W &lt;small&gt;(Mon)&lt;/small&gt;</v>
      </c>
      <c r="D549" s="17" t="str">
        <f>VLOOKUP(Table4[[#This Row],[Name]],Table1[[Player]:[FP/G]],3,FALSE)</f>
        <v>D</v>
      </c>
      <c r="E549" s="17">
        <f>VLOOKUP(Table4[[#This Row],[Name]],Table1[[Player]:[Age]],5,FALSE)</f>
        <v>28</v>
      </c>
      <c r="F549" s="10">
        <f>MAX(
  _xlfn.IFNA(_xlfn.XLOOKUP(B549,'C'!B:B,'C'!E:E),  -1000000000),
  _xlfn.IFNA(_xlfn.XLOOKUP(B549, LW!B:B, LW!E:E), -1000000000),
  _xlfn.IFNA(_xlfn.XLOOKUP(B549, RW!B:B, RW!E:E), -1000000000),
  _xlfn.IFNA(_xlfn.XLOOKUP(B549, D!B:B,  D!E:E),  -1000000000)
)</f>
        <v>-2.2654449832467143</v>
      </c>
    </row>
    <row r="550" spans="2:6" x14ac:dyDescent="0.25">
      <c r="B550" t="s">
        <v>658</v>
      </c>
      <c r="C550" s="17" t="str">
        <f>VLOOKUP(Table4[[#This Row],[Name]],Table1[[Player]:[Status]],4,FALSE)</f>
        <v>Chris</v>
      </c>
      <c r="D550" s="17" t="str">
        <f>VLOOKUP(Table4[[#This Row],[Name]],Table1[[Player]:[FP/G]],3,FALSE)</f>
        <v>LW,RW</v>
      </c>
      <c r="E550" s="17">
        <f>VLOOKUP(Table4[[#This Row],[Name]],Table1[[Player]:[Age]],5,FALSE)</f>
        <v>30</v>
      </c>
      <c r="F550" s="10">
        <f>MAX(
  _xlfn.IFNA(_xlfn.XLOOKUP(B550,'C'!B:B,'C'!E:E),  -1000000000),
  _xlfn.IFNA(_xlfn.XLOOKUP(B550, LW!B:B, LW!E:E), -1000000000),
  _xlfn.IFNA(_xlfn.XLOOKUP(B550, RW!B:B, RW!E:E), -1000000000),
  _xlfn.IFNA(_xlfn.XLOOKUP(B550, D!B:B,  D!E:E),  -1000000000)
)</f>
        <v>-2.2729303575245297</v>
      </c>
    </row>
    <row r="551" spans="2:6" x14ac:dyDescent="0.25">
      <c r="B551" t="s">
        <v>1303</v>
      </c>
      <c r="C551" s="17" t="str">
        <f>VLOOKUP(Table4[[#This Row],[Name]],Table1[[Player]:[Status]],4,FALSE)</f>
        <v>W &lt;small&gt;(Mon)&lt;/small&gt;</v>
      </c>
      <c r="D551" s="17" t="str">
        <f>VLOOKUP(Table4[[#This Row],[Name]],Table1[[Player]:[FP/G]],3,FALSE)</f>
        <v>D</v>
      </c>
      <c r="E551" s="17">
        <f>VLOOKUP(Table4[[#This Row],[Name]],Table1[[Player]:[Age]],5,FALSE)</f>
        <v>36</v>
      </c>
      <c r="F551" s="10">
        <f>MAX(
  _xlfn.IFNA(_xlfn.XLOOKUP(B551,'C'!B:B,'C'!E:E),  -1000000000),
  _xlfn.IFNA(_xlfn.XLOOKUP(B551, LW!B:B, LW!E:E), -1000000000),
  _xlfn.IFNA(_xlfn.XLOOKUP(B551, RW!B:B, RW!E:E), -1000000000),
  _xlfn.IFNA(_xlfn.XLOOKUP(B551, D!B:B,  D!E:E),  -1000000000)
)</f>
        <v>-2.2741876319686303</v>
      </c>
    </row>
    <row r="552" spans="2:6" x14ac:dyDescent="0.25">
      <c r="B552" t="s">
        <v>848</v>
      </c>
      <c r="C552" s="17" t="str">
        <f>VLOOKUP(Table4[[#This Row],[Name]],Table1[[Player]:[Status]],4,FALSE)</f>
        <v>W &lt;small&gt;(Mon)&lt;/small&gt;</v>
      </c>
      <c r="D552" s="17" t="str">
        <f>VLOOKUP(Table4[[#This Row],[Name]],Table1[[Player]:[FP/G]],3,FALSE)</f>
        <v>LW</v>
      </c>
      <c r="E552" s="17">
        <f>VLOOKUP(Table4[[#This Row],[Name]],Table1[[Player]:[Age]],5,FALSE)</f>
        <v>30</v>
      </c>
      <c r="F552" s="10">
        <f>MAX(
  _xlfn.IFNA(_xlfn.XLOOKUP(B552,'C'!B:B,'C'!E:E),  -1000000000),
  _xlfn.IFNA(_xlfn.XLOOKUP(B552, LW!B:B, LW!E:E), -1000000000),
  _xlfn.IFNA(_xlfn.XLOOKUP(B552, RW!B:B, RW!E:E), -1000000000),
  _xlfn.IFNA(_xlfn.XLOOKUP(B552, D!B:B,  D!E:E),  -1000000000)
)</f>
        <v>-2.2796464458057799</v>
      </c>
    </row>
    <row r="553" spans="2:6" x14ac:dyDescent="0.25">
      <c r="B553" t="s">
        <v>854</v>
      </c>
      <c r="C553" s="17" t="str">
        <f>VLOOKUP(Table4[[#This Row],[Name]],Table1[[Player]:[Status]],4,FALSE)</f>
        <v>W &lt;small&gt;(Mon)&lt;/small&gt;</v>
      </c>
      <c r="D553" s="17" t="str">
        <f>VLOOKUP(Table4[[#This Row],[Name]],Table1[[Player]:[FP/G]],3,FALSE)</f>
        <v>LW</v>
      </c>
      <c r="E553" s="17">
        <f>VLOOKUP(Table4[[#This Row],[Name]],Table1[[Player]:[Age]],5,FALSE)</f>
        <v>27</v>
      </c>
      <c r="F553" s="10">
        <f>MAX(
  _xlfn.IFNA(_xlfn.XLOOKUP(B553,'C'!B:B,'C'!E:E),  -1000000000),
  _xlfn.IFNA(_xlfn.XLOOKUP(B553, LW!B:B, LW!E:E), -1000000000),
  _xlfn.IFNA(_xlfn.XLOOKUP(B553, RW!B:B, RW!E:E), -1000000000),
  _xlfn.IFNA(_xlfn.XLOOKUP(B553, D!B:B,  D!E:E),  -1000000000)
)</f>
        <v>-2.2798535695514999</v>
      </c>
    </row>
    <row r="554" spans="2:6" x14ac:dyDescent="0.25">
      <c r="B554" t="s">
        <v>1126</v>
      </c>
      <c r="C554" s="17" t="str">
        <f>VLOOKUP(Table4[[#This Row],[Name]],Table1[[Player]:[Status]],4,FALSE)</f>
        <v>W &lt;small&gt;(Mon)&lt;/small&gt;</v>
      </c>
      <c r="D554" s="17" t="str">
        <f>VLOOKUP(Table4[[#This Row],[Name]],Table1[[Player]:[FP/G]],3,FALSE)</f>
        <v>C</v>
      </c>
      <c r="E554" s="17">
        <f>VLOOKUP(Table4[[#This Row],[Name]],Table1[[Player]:[Age]],5,FALSE)</f>
        <v>30</v>
      </c>
      <c r="F554" s="10">
        <f>MAX(
  _xlfn.IFNA(_xlfn.XLOOKUP(B554,'C'!B:B,'C'!E:E),  -1000000000),
  _xlfn.IFNA(_xlfn.XLOOKUP(B554, LW!B:B, LW!E:E), -1000000000),
  _xlfn.IFNA(_xlfn.XLOOKUP(B554, RW!B:B, RW!E:E), -1000000000),
  _xlfn.IFNA(_xlfn.XLOOKUP(B554, D!B:B,  D!E:E),  -1000000000)
)</f>
        <v>-2.2926705595992205</v>
      </c>
    </row>
    <row r="555" spans="2:6" x14ac:dyDescent="0.25">
      <c r="B555" t="s">
        <v>954</v>
      </c>
      <c r="C555" s="17" t="str">
        <f>VLOOKUP(Table4[[#This Row],[Name]],Table1[[Player]:[Status]],4,FALSE)</f>
        <v>W &lt;small&gt;(Mon)&lt;/small&gt;</v>
      </c>
      <c r="D555" s="17" t="str">
        <f>VLOOKUP(Table4[[#This Row],[Name]],Table1[[Player]:[FP/G]],3,FALSE)</f>
        <v>C,LW</v>
      </c>
      <c r="E555" s="17">
        <f>VLOOKUP(Table4[[#This Row],[Name]],Table1[[Player]:[Age]],5,FALSE)</f>
        <v>26</v>
      </c>
      <c r="F555" s="10">
        <f>MAX(
  _xlfn.IFNA(_xlfn.XLOOKUP(B555,'C'!B:B,'C'!E:E),  -1000000000),
  _xlfn.IFNA(_xlfn.XLOOKUP(B555, LW!B:B, LW!E:E), -1000000000),
  _xlfn.IFNA(_xlfn.XLOOKUP(B555, RW!B:B, RW!E:E), -1000000000),
  _xlfn.IFNA(_xlfn.XLOOKUP(B555, D!B:B,  D!E:E),  -1000000000)
)</f>
        <v>-2.2954815098584702</v>
      </c>
    </row>
    <row r="556" spans="2:6" x14ac:dyDescent="0.25">
      <c r="B556" t="s">
        <v>846</v>
      </c>
      <c r="C556" s="17" t="str">
        <f>VLOOKUP(Table4[[#This Row],[Name]],Table1[[Player]:[Status]],4,FALSE)</f>
        <v>W &lt;small&gt;(Mon)&lt;/small&gt;</v>
      </c>
      <c r="D556" s="17" t="str">
        <f>VLOOKUP(Table4[[#This Row],[Name]],Table1[[Player]:[FP/G]],3,FALSE)</f>
        <v>RW</v>
      </c>
      <c r="E556" s="17">
        <f>VLOOKUP(Table4[[#This Row],[Name]],Table1[[Player]:[Age]],5,FALSE)</f>
        <v>29</v>
      </c>
      <c r="F556" s="10">
        <f>MAX(
  _xlfn.IFNA(_xlfn.XLOOKUP(B556,'C'!B:B,'C'!E:E),  -1000000000),
  _xlfn.IFNA(_xlfn.XLOOKUP(B556, LW!B:B, LW!E:E), -1000000000),
  _xlfn.IFNA(_xlfn.XLOOKUP(B556, RW!B:B, RW!E:E), -1000000000),
  _xlfn.IFNA(_xlfn.XLOOKUP(B556, D!B:B,  D!E:E),  -1000000000)
)</f>
        <v>-2.3710042526824098</v>
      </c>
    </row>
    <row r="557" spans="2:6" x14ac:dyDescent="0.25">
      <c r="B557" t="s">
        <v>1112</v>
      </c>
      <c r="C557" s="17" t="str">
        <f>VLOOKUP(Table4[[#This Row],[Name]],Table1[[Player]:[Status]],4,FALSE)</f>
        <v>W &lt;small&gt;(Mon)&lt;/small&gt;</v>
      </c>
      <c r="D557" s="17" t="str">
        <f>VLOOKUP(Table4[[#This Row],[Name]],Table1[[Player]:[FP/G]],3,FALSE)</f>
        <v>C,LW</v>
      </c>
      <c r="E557" s="17">
        <f>VLOOKUP(Table4[[#This Row],[Name]],Table1[[Player]:[Age]],5,FALSE)</f>
        <v>32</v>
      </c>
      <c r="F557" s="10">
        <f>MAX(
  _xlfn.IFNA(_xlfn.XLOOKUP(B557,'C'!B:B,'C'!E:E),  -1000000000),
  _xlfn.IFNA(_xlfn.XLOOKUP(B557, LW!B:B, LW!E:E), -1000000000),
  _xlfn.IFNA(_xlfn.XLOOKUP(B557, RW!B:B, RW!E:E), -1000000000),
  _xlfn.IFNA(_xlfn.XLOOKUP(B557, D!B:B,  D!E:E),  -1000000000)
)</f>
        <v>-2.3794511423328601</v>
      </c>
    </row>
    <row r="558" spans="2:6" x14ac:dyDescent="0.25">
      <c r="B558" t="s">
        <v>618</v>
      </c>
      <c r="C558" s="17" t="str">
        <f>VLOOKUP(Table4[[#This Row],[Name]],Table1[[Player]:[Status]],4,FALSE)</f>
        <v>W &lt;small&gt;(Mon)&lt;/small&gt;</v>
      </c>
      <c r="D558" s="17" t="str">
        <f>VLOOKUP(Table4[[#This Row],[Name]],Table1[[Player]:[FP/G]],3,FALSE)</f>
        <v>C</v>
      </c>
      <c r="E558" s="17">
        <f>VLOOKUP(Table4[[#This Row],[Name]],Table1[[Player]:[Age]],5,FALSE)</f>
        <v>23</v>
      </c>
      <c r="F558" s="10">
        <f>MAX(
  _xlfn.IFNA(_xlfn.XLOOKUP(B558,'C'!B:B,'C'!E:E),  -1000000000),
  _xlfn.IFNA(_xlfn.XLOOKUP(B558, LW!B:B, LW!E:E), -1000000000),
  _xlfn.IFNA(_xlfn.XLOOKUP(B558, RW!B:B, RW!E:E), -1000000000),
  _xlfn.IFNA(_xlfn.XLOOKUP(B558, D!B:B,  D!E:E),  -1000000000)
)</f>
        <v>-2.4213559779686502</v>
      </c>
    </row>
    <row r="559" spans="2:6" x14ac:dyDescent="0.25">
      <c r="B559" t="s">
        <v>1018</v>
      </c>
      <c r="C559" s="17" t="str">
        <f>VLOOKUP(Table4[[#This Row],[Name]],Table1[[Player]:[Status]],4,FALSE)</f>
        <v>W &lt;small&gt;(Mon)&lt;/small&gt;</v>
      </c>
      <c r="D559" s="17" t="str">
        <f>VLOOKUP(Table4[[#This Row],[Name]],Table1[[Player]:[FP/G]],3,FALSE)</f>
        <v>RW</v>
      </c>
      <c r="E559" s="17">
        <f>VLOOKUP(Table4[[#This Row],[Name]],Table1[[Player]:[Age]],5,FALSE)</f>
        <v>32</v>
      </c>
      <c r="F559" s="10">
        <f>MAX(
  _xlfn.IFNA(_xlfn.XLOOKUP(B559,'C'!B:B,'C'!E:E),  -1000000000),
  _xlfn.IFNA(_xlfn.XLOOKUP(B559, LW!B:B, LW!E:E), -1000000000),
  _xlfn.IFNA(_xlfn.XLOOKUP(B559, RW!B:B, RW!E:E), -1000000000),
  _xlfn.IFNA(_xlfn.XLOOKUP(B559, D!B:B,  D!E:E),  -1000000000)
)</f>
        <v>-2.44981855746919</v>
      </c>
    </row>
    <row r="560" spans="2:6" x14ac:dyDescent="0.25">
      <c r="B560" t="s">
        <v>906</v>
      </c>
      <c r="C560" s="17" t="str">
        <f>VLOOKUP(Table4[[#This Row],[Name]],Table1[[Player]:[Status]],4,FALSE)</f>
        <v>W &lt;small&gt;(Mon)&lt;/small&gt;</v>
      </c>
      <c r="D560" s="17" t="str">
        <f>VLOOKUP(Table4[[#This Row],[Name]],Table1[[Player]:[FP/G]],3,FALSE)</f>
        <v>RW</v>
      </c>
      <c r="E560" s="17">
        <f>VLOOKUP(Table4[[#This Row],[Name]],Table1[[Player]:[Age]],5,FALSE)</f>
        <v>27</v>
      </c>
      <c r="F560" s="10">
        <f>MAX(
  _xlfn.IFNA(_xlfn.XLOOKUP(B560,'C'!B:B,'C'!E:E),  -1000000000),
  _xlfn.IFNA(_xlfn.XLOOKUP(B560, LW!B:B, LW!E:E), -1000000000),
  _xlfn.IFNA(_xlfn.XLOOKUP(B560, RW!B:B, RW!E:E), -1000000000),
  _xlfn.IFNA(_xlfn.XLOOKUP(B560, D!B:B,  D!E:E),  -1000000000)
)</f>
        <v>-2.4599497759721096</v>
      </c>
    </row>
    <row r="561" spans="2:6" x14ac:dyDescent="0.25">
      <c r="B561" t="s">
        <v>926</v>
      </c>
      <c r="C561" s="17" t="str">
        <f>VLOOKUP(Table4[[#This Row],[Name]],Table1[[Player]:[Status]],4,FALSE)</f>
        <v>W &lt;small&gt;(Mon)&lt;/small&gt;</v>
      </c>
      <c r="D561" s="17" t="str">
        <f>VLOOKUP(Table4[[#This Row],[Name]],Table1[[Player]:[FP/G]],3,FALSE)</f>
        <v>C,RW</v>
      </c>
      <c r="E561" s="17">
        <f>VLOOKUP(Table4[[#This Row],[Name]],Table1[[Player]:[Age]],5,FALSE)</f>
        <v>30</v>
      </c>
      <c r="F561" s="10">
        <f>MAX(
  _xlfn.IFNA(_xlfn.XLOOKUP(B561,'C'!B:B,'C'!E:E),  -1000000000),
  _xlfn.IFNA(_xlfn.XLOOKUP(B561, LW!B:B, LW!E:E), -1000000000),
  _xlfn.IFNA(_xlfn.XLOOKUP(B561, RW!B:B, RW!E:E), -1000000000),
  _xlfn.IFNA(_xlfn.XLOOKUP(B561, D!B:B,  D!E:E),  -1000000000)
)</f>
        <v>-2.4664084105834201</v>
      </c>
    </row>
    <row r="562" spans="2:6" x14ac:dyDescent="0.25">
      <c r="B562" t="s">
        <v>1210</v>
      </c>
      <c r="C562" s="17" t="str">
        <f>VLOOKUP(Table4[[#This Row],[Name]],Table1[[Player]:[Status]],4,FALSE)</f>
        <v>W &lt;small&gt;(Mon)&lt;/small&gt;</v>
      </c>
      <c r="D562" s="17" t="str">
        <f>VLOOKUP(Table4[[#This Row],[Name]],Table1[[Player]:[FP/G]],3,FALSE)</f>
        <v>C,RW</v>
      </c>
      <c r="E562" s="17">
        <f>VLOOKUP(Table4[[#This Row],[Name]],Table1[[Player]:[Age]],5,FALSE)</f>
        <v>32</v>
      </c>
      <c r="F562" s="10">
        <f>MAX(
  _xlfn.IFNA(_xlfn.XLOOKUP(B562,'C'!B:B,'C'!E:E),  -1000000000),
  _xlfn.IFNA(_xlfn.XLOOKUP(B562, LW!B:B, LW!E:E), -1000000000),
  _xlfn.IFNA(_xlfn.XLOOKUP(B562, RW!B:B, RW!E:E), -1000000000),
  _xlfn.IFNA(_xlfn.XLOOKUP(B562, D!B:B,  D!E:E),  -1000000000)
)</f>
        <v>-2.4827797520514103</v>
      </c>
    </row>
    <row r="563" spans="2:6" x14ac:dyDescent="0.25">
      <c r="B563" t="s">
        <v>1176</v>
      </c>
      <c r="C563" s="17" t="str">
        <f>VLOOKUP(Table4[[#This Row],[Name]],Table1[[Player]:[Status]],4,FALSE)</f>
        <v>W &lt;small&gt;(Mon)&lt;/small&gt;</v>
      </c>
      <c r="D563" s="17" t="str">
        <f>VLOOKUP(Table4[[#This Row],[Name]],Table1[[Player]:[FP/G]],3,FALSE)</f>
        <v>C,RW</v>
      </c>
      <c r="E563" s="17">
        <f>VLOOKUP(Table4[[#This Row],[Name]],Table1[[Player]:[Age]],5,FALSE)</f>
        <v>26</v>
      </c>
      <c r="F563" s="10">
        <f>MAX(
  _xlfn.IFNA(_xlfn.XLOOKUP(B563,'C'!B:B,'C'!E:E),  -1000000000),
  _xlfn.IFNA(_xlfn.XLOOKUP(B563, LW!B:B, LW!E:E), -1000000000),
  _xlfn.IFNA(_xlfn.XLOOKUP(B563, RW!B:B, RW!E:E), -1000000000),
  _xlfn.IFNA(_xlfn.XLOOKUP(B563, D!B:B,  D!E:E),  -1000000000)
)</f>
        <v>-2.4961099863150205</v>
      </c>
    </row>
    <row r="564" spans="2:6" x14ac:dyDescent="0.25">
      <c r="B564" t="s">
        <v>794</v>
      </c>
      <c r="C564" s="17" t="str">
        <f>VLOOKUP(Table4[[#This Row],[Name]],Table1[[Player]:[Status]],4,FALSE)</f>
        <v>W &lt;small&gt;(Mon)&lt;/small&gt;</v>
      </c>
      <c r="D564" s="17" t="str">
        <f>VLOOKUP(Table4[[#This Row],[Name]],Table1[[Player]:[FP/G]],3,FALSE)</f>
        <v>LW,RW</v>
      </c>
      <c r="E564" s="17">
        <f>VLOOKUP(Table4[[#This Row],[Name]],Table1[[Player]:[Age]],5,FALSE)</f>
        <v>40</v>
      </c>
      <c r="F564" s="10">
        <f>MAX(
  _xlfn.IFNA(_xlfn.XLOOKUP(B564,'C'!B:B,'C'!E:E),  -1000000000),
  _xlfn.IFNA(_xlfn.XLOOKUP(B564, LW!B:B, LW!E:E), -1000000000),
  _xlfn.IFNA(_xlfn.XLOOKUP(B564, RW!B:B, RW!E:E), -1000000000),
  _xlfn.IFNA(_xlfn.XLOOKUP(B564, D!B:B,  D!E:E),  -1000000000)
)</f>
        <v>-2.4971881571349996</v>
      </c>
    </row>
    <row r="565" spans="2:6" x14ac:dyDescent="0.25">
      <c r="B565" t="s">
        <v>1088</v>
      </c>
      <c r="C565" s="17" t="str">
        <f>VLOOKUP(Table4[[#This Row],[Name]],Table1[[Player]:[Status]],4,FALSE)</f>
        <v>W &lt;small&gt;(Mon)&lt;/small&gt;</v>
      </c>
      <c r="D565" s="17" t="str">
        <f>VLOOKUP(Table4[[#This Row],[Name]],Table1[[Player]:[FP/G]],3,FALSE)</f>
        <v>LW</v>
      </c>
      <c r="E565" s="17">
        <f>VLOOKUP(Table4[[#This Row],[Name]],Table1[[Player]:[Age]],5,FALSE)</f>
        <v>29</v>
      </c>
      <c r="F565" s="10">
        <f>MAX(
  _xlfn.IFNA(_xlfn.XLOOKUP(B565,'C'!B:B,'C'!E:E),  -1000000000),
  _xlfn.IFNA(_xlfn.XLOOKUP(B565, LW!B:B, LW!E:E), -1000000000),
  _xlfn.IFNA(_xlfn.XLOOKUP(B565, RW!B:B, RW!E:E), -1000000000),
  _xlfn.IFNA(_xlfn.XLOOKUP(B565, D!B:B,  D!E:E),  -1000000000)
)</f>
        <v>-2.5060866441184797</v>
      </c>
    </row>
    <row r="566" spans="2:6" x14ac:dyDescent="0.25">
      <c r="B566" t="s">
        <v>1288</v>
      </c>
      <c r="C566" s="17" t="str">
        <f>VLOOKUP(Table4[[#This Row],[Name]],Table1[[Player]:[Status]],4,FALSE)</f>
        <v>W &lt;small&gt;(Mon)&lt;/small&gt;</v>
      </c>
      <c r="D566" s="17" t="str">
        <f>VLOOKUP(Table4[[#This Row],[Name]],Table1[[Player]:[FP/G]],3,FALSE)</f>
        <v>LW,RW</v>
      </c>
      <c r="E566" s="17">
        <f>VLOOKUP(Table4[[#This Row],[Name]],Table1[[Player]:[Age]],5,FALSE)</f>
        <v>31</v>
      </c>
      <c r="F566" s="10">
        <f>MAX(
  _xlfn.IFNA(_xlfn.XLOOKUP(B566,'C'!B:B,'C'!E:E),  -1000000000),
  _xlfn.IFNA(_xlfn.XLOOKUP(B566, LW!B:B, LW!E:E), -1000000000),
  _xlfn.IFNA(_xlfn.XLOOKUP(B566, RW!B:B, RW!E:E), -1000000000),
  _xlfn.IFNA(_xlfn.XLOOKUP(B566, D!B:B,  D!E:E),  -1000000000)
)</f>
        <v>-2.5298990090389299</v>
      </c>
    </row>
    <row r="567" spans="2:6" x14ac:dyDescent="0.25">
      <c r="B567" t="s">
        <v>796</v>
      </c>
      <c r="C567" s="17" t="str">
        <f>VLOOKUP(Table4[[#This Row],[Name]],Table1[[Player]:[Status]],4,FALSE)</f>
        <v>W &lt;small&gt;(Mon)&lt;/small&gt;</v>
      </c>
      <c r="D567" s="17" t="str">
        <f>VLOOKUP(Table4[[#This Row],[Name]],Table1[[Player]:[FP/G]],3,FALSE)</f>
        <v>RW</v>
      </c>
      <c r="E567" s="17">
        <f>VLOOKUP(Table4[[#This Row],[Name]],Table1[[Player]:[Age]],5,FALSE)</f>
        <v>33</v>
      </c>
      <c r="F567" s="10">
        <f>MAX(
  _xlfn.IFNA(_xlfn.XLOOKUP(B567,'C'!B:B,'C'!E:E),  -1000000000),
  _xlfn.IFNA(_xlfn.XLOOKUP(B567, LW!B:B, LW!E:E), -1000000000),
  _xlfn.IFNA(_xlfn.XLOOKUP(B567, RW!B:B, RW!E:E), -1000000000),
  _xlfn.IFNA(_xlfn.XLOOKUP(B567, D!B:B,  D!E:E),  -1000000000)
)</f>
        <v>-2.53487616085039</v>
      </c>
    </row>
    <row r="568" spans="2:6" x14ac:dyDescent="0.25">
      <c r="B568" t="s">
        <v>1038</v>
      </c>
      <c r="C568" s="17" t="str">
        <f>VLOOKUP(Table4[[#This Row],[Name]],Table1[[Player]:[Status]],4,FALSE)</f>
        <v>W &lt;small&gt;(Mon)&lt;/small&gt;</v>
      </c>
      <c r="D568" s="17" t="str">
        <f>VLOOKUP(Table4[[#This Row],[Name]],Table1[[Player]:[FP/G]],3,FALSE)</f>
        <v>C</v>
      </c>
      <c r="E568" s="17">
        <f>VLOOKUP(Table4[[#This Row],[Name]],Table1[[Player]:[Age]],5,FALSE)</f>
        <v>25</v>
      </c>
      <c r="F568" s="10">
        <f>MAX(
  _xlfn.IFNA(_xlfn.XLOOKUP(B568,'C'!B:B,'C'!E:E),  -1000000000),
  _xlfn.IFNA(_xlfn.XLOOKUP(B568, LW!B:B, LW!E:E), -1000000000),
  _xlfn.IFNA(_xlfn.XLOOKUP(B568, RW!B:B, RW!E:E), -1000000000),
  _xlfn.IFNA(_xlfn.XLOOKUP(B568, D!B:B,  D!E:E),  -1000000000)
)</f>
        <v>-2.6144948491610802</v>
      </c>
    </row>
    <row r="569" spans="2:6" x14ac:dyDescent="0.25">
      <c r="B569" t="s">
        <v>1004</v>
      </c>
      <c r="C569" s="17" t="str">
        <f>VLOOKUP(Table4[[#This Row],[Name]],Table1[[Player]:[Status]],4,FALSE)</f>
        <v>W &lt;small&gt;(Mon)&lt;/small&gt;</v>
      </c>
      <c r="D569" s="17" t="str">
        <f>VLOOKUP(Table4[[#This Row],[Name]],Table1[[Player]:[FP/G]],3,FALSE)</f>
        <v>C,RW</v>
      </c>
      <c r="E569" s="17">
        <f>VLOOKUP(Table4[[#This Row],[Name]],Table1[[Player]:[Age]],5,FALSE)</f>
        <v>25</v>
      </c>
      <c r="F569" s="10">
        <f>MAX(
  _xlfn.IFNA(_xlfn.XLOOKUP(B569,'C'!B:B,'C'!E:E),  -1000000000),
  _xlfn.IFNA(_xlfn.XLOOKUP(B569, LW!B:B, LW!E:E), -1000000000),
  _xlfn.IFNA(_xlfn.XLOOKUP(B569, RW!B:B, RW!E:E), -1000000000),
  _xlfn.IFNA(_xlfn.XLOOKUP(B569, D!B:B,  D!E:E),  -1000000000)
)</f>
        <v>-2.6167443498047405</v>
      </c>
    </row>
    <row r="570" spans="2:6" x14ac:dyDescent="0.25">
      <c r="B570" t="s">
        <v>1248</v>
      </c>
      <c r="C570" s="17" t="str">
        <f>VLOOKUP(Table4[[#This Row],[Name]],Table1[[Player]:[Status]],4,FALSE)</f>
        <v>W &lt;small&gt;(Mon)&lt;/small&gt;</v>
      </c>
      <c r="D570" s="17" t="str">
        <f>VLOOKUP(Table4[[#This Row],[Name]],Table1[[Player]:[FP/G]],3,FALSE)</f>
        <v>LW</v>
      </c>
      <c r="E570" s="17">
        <f>VLOOKUP(Table4[[#This Row],[Name]],Table1[[Player]:[Age]],5,FALSE)</f>
        <v>31</v>
      </c>
      <c r="F570" s="10">
        <f>MAX(
  _xlfn.IFNA(_xlfn.XLOOKUP(B570,'C'!B:B,'C'!E:E),  -1000000000),
  _xlfn.IFNA(_xlfn.XLOOKUP(B570, LW!B:B, LW!E:E), -1000000000),
  _xlfn.IFNA(_xlfn.XLOOKUP(B570, RW!B:B, RW!E:E), -1000000000),
  _xlfn.IFNA(_xlfn.XLOOKUP(B570, D!B:B,  D!E:E),  -1000000000)
)</f>
        <v>-2.63162474226869</v>
      </c>
    </row>
    <row r="571" spans="2:6" x14ac:dyDescent="0.25">
      <c r="B571" t="s">
        <v>1323</v>
      </c>
      <c r="C571" s="17" t="str">
        <f>VLOOKUP(Table4[[#This Row],[Name]],Table1[[Player]:[Status]],4,FALSE)</f>
        <v>W &lt;small&gt;(Mon)&lt;/small&gt;</v>
      </c>
      <c r="D571" s="17" t="str">
        <f>VLOOKUP(Table4[[#This Row],[Name]],Table1[[Player]:[FP/G]],3,FALSE)</f>
        <v>LW</v>
      </c>
      <c r="E571" s="17">
        <f>VLOOKUP(Table4[[#This Row],[Name]],Table1[[Player]:[Age]],5,FALSE)</f>
        <v>31</v>
      </c>
      <c r="F571" s="10">
        <f>MAX(
  _xlfn.IFNA(_xlfn.XLOOKUP(B571,'C'!B:B,'C'!E:E),  -1000000000),
  _xlfn.IFNA(_xlfn.XLOOKUP(B571, LW!B:B, LW!E:E), -1000000000),
  _xlfn.IFNA(_xlfn.XLOOKUP(B571, RW!B:B, RW!E:E), -1000000000),
  _xlfn.IFNA(_xlfn.XLOOKUP(B571, D!B:B,  D!E:E),  -1000000000)
)</f>
        <v>-2.6386795677083601</v>
      </c>
    </row>
    <row r="572" spans="2:6" x14ac:dyDescent="0.25">
      <c r="B572" t="s">
        <v>976</v>
      </c>
      <c r="C572" s="17" t="str">
        <f>VLOOKUP(Table4[[#This Row],[Name]],Table1[[Player]:[Status]],4,FALSE)</f>
        <v>W &lt;small&gt;(Mon)&lt;/small&gt;</v>
      </c>
      <c r="D572" s="17" t="str">
        <f>VLOOKUP(Table4[[#This Row],[Name]],Table1[[Player]:[FP/G]],3,FALSE)</f>
        <v>LW,RW</v>
      </c>
      <c r="E572" s="17">
        <f>VLOOKUP(Table4[[#This Row],[Name]],Table1[[Player]:[Age]],5,FALSE)</f>
        <v>27</v>
      </c>
      <c r="F572" s="10">
        <f>MAX(
  _xlfn.IFNA(_xlfn.XLOOKUP(B572,'C'!B:B,'C'!E:E),  -1000000000),
  _xlfn.IFNA(_xlfn.XLOOKUP(B572, LW!B:B, LW!E:E), -1000000000),
  _xlfn.IFNA(_xlfn.XLOOKUP(B572, RW!B:B, RW!E:E), -1000000000),
  _xlfn.IFNA(_xlfn.XLOOKUP(B572, D!B:B,  D!E:E),  -1000000000)
)</f>
        <v>-2.6491904873974201</v>
      </c>
    </row>
    <row r="573" spans="2:6" x14ac:dyDescent="0.25">
      <c r="B573" t="s">
        <v>1138</v>
      </c>
      <c r="C573" s="17" t="str">
        <f>VLOOKUP(Table4[[#This Row],[Name]],Table1[[Player]:[Status]],4,FALSE)</f>
        <v>W &lt;small&gt;(Mon)&lt;/small&gt;</v>
      </c>
      <c r="D573" s="17" t="str">
        <f>VLOOKUP(Table4[[#This Row],[Name]],Table1[[Player]:[FP/G]],3,FALSE)</f>
        <v>RW</v>
      </c>
      <c r="E573" s="17">
        <f>VLOOKUP(Table4[[#This Row],[Name]],Table1[[Player]:[Age]],5,FALSE)</f>
        <v>27</v>
      </c>
      <c r="F573" s="10">
        <f>MAX(
  _xlfn.IFNA(_xlfn.XLOOKUP(B573,'C'!B:B,'C'!E:E),  -1000000000),
  _xlfn.IFNA(_xlfn.XLOOKUP(B573, LW!B:B, LW!E:E), -1000000000),
  _xlfn.IFNA(_xlfn.XLOOKUP(B573, RW!B:B, RW!E:E), -1000000000),
  _xlfn.IFNA(_xlfn.XLOOKUP(B573, D!B:B,  D!E:E),  -1000000000)
)</f>
        <v>-2.6597589518560096</v>
      </c>
    </row>
    <row r="574" spans="2:6" x14ac:dyDescent="0.25">
      <c r="B574" t="s">
        <v>1220</v>
      </c>
      <c r="C574" s="17" t="str">
        <f>VLOOKUP(Table4[[#This Row],[Name]],Table1[[Player]:[Status]],4,FALSE)</f>
        <v>W &lt;small&gt;(Mon)&lt;/small&gt;</v>
      </c>
      <c r="D574" s="17" t="str">
        <f>VLOOKUP(Table4[[#This Row],[Name]],Table1[[Player]:[FP/G]],3,FALSE)</f>
        <v>C</v>
      </c>
      <c r="E574" s="17">
        <f>VLOOKUP(Table4[[#This Row],[Name]],Table1[[Player]:[Age]],5,FALSE)</f>
        <v>25</v>
      </c>
      <c r="F574" s="10">
        <f>MAX(
  _xlfn.IFNA(_xlfn.XLOOKUP(B574,'C'!B:B,'C'!E:E),  -1000000000),
  _xlfn.IFNA(_xlfn.XLOOKUP(B574, LW!B:B, LW!E:E), -1000000000),
  _xlfn.IFNA(_xlfn.XLOOKUP(B574, RW!B:B, RW!E:E), -1000000000),
  _xlfn.IFNA(_xlfn.XLOOKUP(B574, D!B:B,  D!E:E),  -1000000000)
)</f>
        <v>-2.6828984704625505</v>
      </c>
    </row>
    <row r="575" spans="2:6" x14ac:dyDescent="0.25">
      <c r="B575" t="s">
        <v>608</v>
      </c>
      <c r="C575" s="17" t="str">
        <f>VLOOKUP(Table4[[#This Row],[Name]],Table1[[Player]:[Status]],4,FALSE)</f>
        <v>W &lt;small&gt;(Mon)&lt;/small&gt;</v>
      </c>
      <c r="D575" s="17" t="str">
        <f>VLOOKUP(Table4[[#This Row],[Name]],Table1[[Player]:[FP/G]],3,FALSE)</f>
        <v>LW</v>
      </c>
      <c r="E575" s="17">
        <f>VLOOKUP(Table4[[#This Row],[Name]],Table1[[Player]:[Age]],5,FALSE)</f>
        <v>36</v>
      </c>
      <c r="F575" s="10">
        <f>MAX(
  _xlfn.IFNA(_xlfn.XLOOKUP(B575,'C'!B:B,'C'!E:E),  -1000000000),
  _xlfn.IFNA(_xlfn.XLOOKUP(B575, LW!B:B, LW!E:E), -1000000000),
  _xlfn.IFNA(_xlfn.XLOOKUP(B575, RW!B:B, RW!E:E), -1000000000),
  _xlfn.IFNA(_xlfn.XLOOKUP(B575, D!B:B,  D!E:E),  -1000000000)
)</f>
        <v>-2.7024852195588798</v>
      </c>
    </row>
    <row r="576" spans="2:6" x14ac:dyDescent="0.25">
      <c r="B576" t="s">
        <v>902</v>
      </c>
      <c r="C576" s="17" t="str">
        <f>VLOOKUP(Table4[[#This Row],[Name]],Table1[[Player]:[Status]],4,FALSE)</f>
        <v>W &lt;small&gt;(Mon)&lt;/small&gt;</v>
      </c>
      <c r="D576" s="17" t="str">
        <f>VLOOKUP(Table4[[#This Row],[Name]],Table1[[Player]:[FP/G]],3,FALSE)</f>
        <v>LW</v>
      </c>
      <c r="E576" s="17">
        <f>VLOOKUP(Table4[[#This Row],[Name]],Table1[[Player]:[Age]],5,FALSE)</f>
        <v>24</v>
      </c>
      <c r="F576" s="10">
        <f>MAX(
  _xlfn.IFNA(_xlfn.XLOOKUP(B576,'C'!B:B,'C'!E:E),  -1000000000),
  _xlfn.IFNA(_xlfn.XLOOKUP(B576, LW!B:B, LW!E:E), -1000000000),
  _xlfn.IFNA(_xlfn.XLOOKUP(B576, RW!B:B, RW!E:E), -1000000000),
  _xlfn.IFNA(_xlfn.XLOOKUP(B576, D!B:B,  D!E:E),  -1000000000)
)</f>
        <v>-2.7115223682183798</v>
      </c>
    </row>
    <row r="577" spans="2:6" x14ac:dyDescent="0.25">
      <c r="B577" t="s">
        <v>948</v>
      </c>
      <c r="C577" s="17" t="str">
        <f>VLOOKUP(Table4[[#This Row],[Name]],Table1[[Player]:[Status]],4,FALSE)</f>
        <v>W &lt;small&gt;(Mon)&lt;/small&gt;</v>
      </c>
      <c r="D577" s="17" t="str">
        <f>VLOOKUP(Table4[[#This Row],[Name]],Table1[[Player]:[FP/G]],3,FALSE)</f>
        <v>RW</v>
      </c>
      <c r="E577" s="17">
        <f>VLOOKUP(Table4[[#This Row],[Name]],Table1[[Player]:[Age]],5,FALSE)</f>
        <v>29</v>
      </c>
      <c r="F577" s="10">
        <f>MAX(
  _xlfn.IFNA(_xlfn.XLOOKUP(B577,'C'!B:B,'C'!E:E),  -1000000000),
  _xlfn.IFNA(_xlfn.XLOOKUP(B577, LW!B:B, LW!E:E), -1000000000),
  _xlfn.IFNA(_xlfn.XLOOKUP(B577, RW!B:B, RW!E:E), -1000000000),
  _xlfn.IFNA(_xlfn.XLOOKUP(B577, D!B:B,  D!E:E),  -1000000000)
)</f>
        <v>-2.7129238049348396</v>
      </c>
    </row>
    <row r="578" spans="2:6" x14ac:dyDescent="0.25">
      <c r="B578" t="s">
        <v>1214</v>
      </c>
      <c r="C578" s="17" t="str">
        <f>VLOOKUP(Table4[[#This Row],[Name]],Table1[[Player]:[Status]],4,FALSE)</f>
        <v>W &lt;small&gt;(Mon)&lt;/small&gt;</v>
      </c>
      <c r="D578" s="17" t="str">
        <f>VLOOKUP(Table4[[#This Row],[Name]],Table1[[Player]:[FP/G]],3,FALSE)</f>
        <v>C</v>
      </c>
      <c r="E578" s="17">
        <f>VLOOKUP(Table4[[#This Row],[Name]],Table1[[Player]:[Age]],5,FALSE)</f>
        <v>33</v>
      </c>
      <c r="F578" s="10">
        <f>MAX(
  _xlfn.IFNA(_xlfn.XLOOKUP(B578,'C'!B:B,'C'!E:E),  -1000000000),
  _xlfn.IFNA(_xlfn.XLOOKUP(B578, LW!B:B, LW!E:E), -1000000000),
  _xlfn.IFNA(_xlfn.XLOOKUP(B578, RW!B:B, RW!E:E), -1000000000),
  _xlfn.IFNA(_xlfn.XLOOKUP(B578, D!B:B,  D!E:E),  -1000000000)
)</f>
        <v>-2.7475713614957602</v>
      </c>
    </row>
    <row r="579" spans="2:6" x14ac:dyDescent="0.25">
      <c r="B579" t="s">
        <v>980</v>
      </c>
      <c r="C579" s="17" t="str">
        <f>VLOOKUP(Table4[[#This Row],[Name]],Table1[[Player]:[Status]],4,FALSE)</f>
        <v>W &lt;small&gt;(Mon)&lt;/small&gt;</v>
      </c>
      <c r="D579" s="17" t="str">
        <f>VLOOKUP(Table4[[#This Row],[Name]],Table1[[Player]:[FP/G]],3,FALSE)</f>
        <v>C,LW</v>
      </c>
      <c r="E579" s="17">
        <f>VLOOKUP(Table4[[#This Row],[Name]],Table1[[Player]:[Age]],5,FALSE)</f>
        <v>31</v>
      </c>
      <c r="F579" s="10">
        <f>MAX(
  _xlfn.IFNA(_xlfn.XLOOKUP(B579,'C'!B:B,'C'!E:E),  -1000000000),
  _xlfn.IFNA(_xlfn.XLOOKUP(B579, LW!B:B, LW!E:E), -1000000000),
  _xlfn.IFNA(_xlfn.XLOOKUP(B579, RW!B:B, RW!E:E), -1000000000),
  _xlfn.IFNA(_xlfn.XLOOKUP(B579, D!B:B,  D!E:E),  -1000000000)
)</f>
        <v>-2.7737095667009704</v>
      </c>
    </row>
    <row r="580" spans="2:6" x14ac:dyDescent="0.25">
      <c r="B580" t="s">
        <v>1292</v>
      </c>
      <c r="C580" s="17" t="str">
        <f>VLOOKUP(Table4[[#This Row],[Name]],Table1[[Player]:[Status]],4,FALSE)</f>
        <v>W &lt;small&gt;(Mon)&lt;/small&gt;</v>
      </c>
      <c r="D580" s="17" t="str">
        <f>VLOOKUP(Table4[[#This Row],[Name]],Table1[[Player]:[FP/G]],3,FALSE)</f>
        <v>C</v>
      </c>
      <c r="E580" s="17">
        <f>VLOOKUP(Table4[[#This Row],[Name]],Table1[[Player]:[Age]],5,FALSE)</f>
        <v>30</v>
      </c>
      <c r="F580" s="10">
        <f>MAX(
  _xlfn.IFNA(_xlfn.XLOOKUP(B580,'C'!B:B,'C'!E:E),  -1000000000),
  _xlfn.IFNA(_xlfn.XLOOKUP(B580, LW!B:B, LW!E:E), -1000000000),
  _xlfn.IFNA(_xlfn.XLOOKUP(B580, RW!B:B, RW!E:E), -1000000000),
  _xlfn.IFNA(_xlfn.XLOOKUP(B580, D!B:B,  D!E:E),  -1000000000)
)</f>
        <v>-2.80507446512987</v>
      </c>
    </row>
    <row r="581" spans="2:6" x14ac:dyDescent="0.25">
      <c r="B581" t="s">
        <v>1317</v>
      </c>
      <c r="C581" s="17" t="str">
        <f>VLOOKUP(Table4[[#This Row],[Name]],Table1[[Player]:[Status]],4,FALSE)</f>
        <v>W &lt;small&gt;(Mon)&lt;/small&gt;</v>
      </c>
      <c r="D581" s="17" t="str">
        <f>VLOOKUP(Table4[[#This Row],[Name]],Table1[[Player]:[FP/G]],3,FALSE)</f>
        <v>C</v>
      </c>
      <c r="E581" s="17">
        <f>VLOOKUP(Table4[[#This Row],[Name]],Table1[[Player]:[Age]],5,FALSE)</f>
        <v>32</v>
      </c>
      <c r="F581" s="10">
        <f>MAX(
  _xlfn.IFNA(_xlfn.XLOOKUP(B581,'C'!B:B,'C'!E:E),  -1000000000),
  _xlfn.IFNA(_xlfn.XLOOKUP(B581, LW!B:B, LW!E:E), -1000000000),
  _xlfn.IFNA(_xlfn.XLOOKUP(B581, RW!B:B, RW!E:E), -1000000000),
  _xlfn.IFNA(_xlfn.XLOOKUP(B581, D!B:B,  D!E:E),  -1000000000)
)</f>
        <v>-2.8160125349293303</v>
      </c>
    </row>
    <row r="582" spans="2:6" x14ac:dyDescent="0.25">
      <c r="B582" t="s">
        <v>940</v>
      </c>
      <c r="C582" s="17" t="str">
        <f>VLOOKUP(Table4[[#This Row],[Name]],Table1[[Player]:[Status]],4,FALSE)</f>
        <v>W &lt;small&gt;(Mon)&lt;/small&gt;</v>
      </c>
      <c r="D582" s="17" t="str">
        <f>VLOOKUP(Table4[[#This Row],[Name]],Table1[[Player]:[FP/G]],3,FALSE)</f>
        <v>LW</v>
      </c>
      <c r="E582" s="17">
        <f>VLOOKUP(Table4[[#This Row],[Name]],Table1[[Player]:[Age]],5,FALSE)</f>
        <v>29</v>
      </c>
      <c r="F582" s="10">
        <f>MAX(
  _xlfn.IFNA(_xlfn.XLOOKUP(B582,'C'!B:B,'C'!E:E),  -1000000000),
  _xlfn.IFNA(_xlfn.XLOOKUP(B582, LW!B:B, LW!E:E), -1000000000),
  _xlfn.IFNA(_xlfn.XLOOKUP(B582, RW!B:B, RW!E:E), -1000000000),
  _xlfn.IFNA(_xlfn.XLOOKUP(B582, D!B:B,  D!E:E),  -1000000000)
)</f>
        <v>-2.8225213949327999</v>
      </c>
    </row>
    <row r="583" spans="2:6" x14ac:dyDescent="0.25">
      <c r="B583" t="s">
        <v>1643</v>
      </c>
      <c r="C583" s="17" t="str">
        <f>VLOOKUP(Table4[[#This Row],[Name]],Table1[[Player]:[Status]],4,FALSE)</f>
        <v>W &lt;small&gt;(Mon)&lt;/small&gt;</v>
      </c>
      <c r="D583" s="17" t="str">
        <f>VLOOKUP(Table4[[#This Row],[Name]],Table1[[Player]:[FP/G]],3,FALSE)</f>
        <v>LW,RW</v>
      </c>
      <c r="E583" s="17">
        <f>VLOOKUP(Table4[[#This Row],[Name]],Table1[[Player]:[Age]],5,FALSE)</f>
        <v>24</v>
      </c>
      <c r="F583" s="10">
        <f>MAX(
  _xlfn.IFNA(_xlfn.XLOOKUP(B583,'C'!B:B,'C'!E:E),  -1000000000),
  _xlfn.IFNA(_xlfn.XLOOKUP(B583, LW!B:B, LW!E:E), -1000000000),
  _xlfn.IFNA(_xlfn.XLOOKUP(B583, RW!B:B, RW!E:E), -1000000000),
  _xlfn.IFNA(_xlfn.XLOOKUP(B583, D!B:B,  D!E:E),  -1000000000)
)</f>
        <v>-2.8228481915047796</v>
      </c>
    </row>
    <row r="584" spans="2:6" x14ac:dyDescent="0.25">
      <c r="B584" t="s">
        <v>1337</v>
      </c>
      <c r="C584" s="17" t="str">
        <f>VLOOKUP(Table4[[#This Row],[Name]],Table1[[Player]:[Status]],4,FALSE)</f>
        <v>W &lt;small&gt;(Mon)&lt;/small&gt;</v>
      </c>
      <c r="D584" s="17" t="str">
        <f>VLOOKUP(Table4[[#This Row],[Name]],Table1[[Player]:[FP/G]],3,FALSE)</f>
        <v>C</v>
      </c>
      <c r="E584" s="17">
        <f>VLOOKUP(Table4[[#This Row],[Name]],Table1[[Player]:[Age]],5,FALSE)</f>
        <v>27</v>
      </c>
      <c r="F584" s="10">
        <f>MAX(
  _xlfn.IFNA(_xlfn.XLOOKUP(B584,'C'!B:B,'C'!E:E),  -1000000000),
  _xlfn.IFNA(_xlfn.XLOOKUP(B584, LW!B:B, LW!E:E), -1000000000),
  _xlfn.IFNA(_xlfn.XLOOKUP(B584, RW!B:B, RW!E:E), -1000000000),
  _xlfn.IFNA(_xlfn.XLOOKUP(B584, D!B:B,  D!E:E),  -1000000000)
)</f>
        <v>-2.82613614289391</v>
      </c>
    </row>
    <row r="585" spans="2:6" x14ac:dyDescent="0.25">
      <c r="B585" t="s">
        <v>1076</v>
      </c>
      <c r="C585" s="17" t="str">
        <f>VLOOKUP(Table4[[#This Row],[Name]],Table1[[Player]:[Status]],4,FALSE)</f>
        <v>W &lt;small&gt;(Mon)&lt;/small&gt;</v>
      </c>
      <c r="D585" s="17" t="str">
        <f>VLOOKUP(Table4[[#This Row],[Name]],Table1[[Player]:[FP/G]],3,FALSE)</f>
        <v>C</v>
      </c>
      <c r="E585" s="17">
        <f>VLOOKUP(Table4[[#This Row],[Name]],Table1[[Player]:[Age]],5,FALSE)</f>
        <v>36</v>
      </c>
      <c r="F585" s="10">
        <f>MAX(
  _xlfn.IFNA(_xlfn.XLOOKUP(B585,'C'!B:B,'C'!E:E),  -1000000000),
  _xlfn.IFNA(_xlfn.XLOOKUP(B585, LW!B:B, LW!E:E), -1000000000),
  _xlfn.IFNA(_xlfn.XLOOKUP(B585, RW!B:B, RW!E:E), -1000000000),
  _xlfn.IFNA(_xlfn.XLOOKUP(B585, D!B:B,  D!E:E),  -1000000000)
)</f>
        <v>-2.8352522762603702</v>
      </c>
    </row>
    <row r="586" spans="2:6" x14ac:dyDescent="0.25">
      <c r="B586" t="s">
        <v>1022</v>
      </c>
      <c r="C586" s="17" t="str">
        <f>VLOOKUP(Table4[[#This Row],[Name]],Table1[[Player]:[Status]],4,FALSE)</f>
        <v>W &lt;small&gt;(Mon)&lt;/small&gt;</v>
      </c>
      <c r="D586" s="17" t="str">
        <f>VLOOKUP(Table4[[#This Row],[Name]],Table1[[Player]:[FP/G]],3,FALSE)</f>
        <v>C,RW</v>
      </c>
      <c r="E586" s="17">
        <f>VLOOKUP(Table4[[#This Row],[Name]],Table1[[Player]:[Age]],5,FALSE)</f>
        <v>38</v>
      </c>
      <c r="F586" s="10">
        <f>MAX(
  _xlfn.IFNA(_xlfn.XLOOKUP(B586,'C'!B:B,'C'!E:E),  -1000000000),
  _xlfn.IFNA(_xlfn.XLOOKUP(B586, LW!B:B, LW!E:E), -1000000000),
  _xlfn.IFNA(_xlfn.XLOOKUP(B586, RW!B:B, RW!E:E), -1000000000),
  _xlfn.IFNA(_xlfn.XLOOKUP(B586, D!B:B,  D!E:E),  -1000000000)
)</f>
        <v>-2.8376026561044903</v>
      </c>
    </row>
    <row r="587" spans="2:6" x14ac:dyDescent="0.25">
      <c r="B587" t="s">
        <v>1228</v>
      </c>
      <c r="C587" s="17" t="str">
        <f>VLOOKUP(Table4[[#This Row],[Name]],Table1[[Player]:[Status]],4,FALSE)</f>
        <v>W &lt;small&gt;(Mon)&lt;/small&gt;</v>
      </c>
      <c r="D587" s="17" t="str">
        <f>VLOOKUP(Table4[[#This Row],[Name]],Table1[[Player]:[FP/G]],3,FALSE)</f>
        <v>LW,RW</v>
      </c>
      <c r="E587" s="17">
        <f>VLOOKUP(Table4[[#This Row],[Name]],Table1[[Player]:[Age]],5,FALSE)</f>
        <v>32</v>
      </c>
      <c r="F587" s="10">
        <f>MAX(
  _xlfn.IFNA(_xlfn.XLOOKUP(B587,'C'!B:B,'C'!E:E),  -1000000000),
  _xlfn.IFNA(_xlfn.XLOOKUP(B587, LW!B:B, LW!E:E), -1000000000),
  _xlfn.IFNA(_xlfn.XLOOKUP(B587, RW!B:B, RW!E:E), -1000000000),
  _xlfn.IFNA(_xlfn.XLOOKUP(B587, D!B:B,  D!E:E),  -1000000000)
)</f>
        <v>-2.8493998437967996</v>
      </c>
    </row>
    <row r="588" spans="2:6" x14ac:dyDescent="0.25">
      <c r="B588" t="s">
        <v>1064</v>
      </c>
      <c r="C588" s="17" t="str">
        <f>VLOOKUP(Table4[[#This Row],[Name]],Table1[[Player]:[Status]],4,FALSE)</f>
        <v>W &lt;small&gt;(Mon)&lt;/small&gt;</v>
      </c>
      <c r="D588" s="17" t="str">
        <f>VLOOKUP(Table4[[#This Row],[Name]],Table1[[Player]:[FP/G]],3,FALSE)</f>
        <v>RW</v>
      </c>
      <c r="E588" s="17">
        <f>VLOOKUP(Table4[[#This Row],[Name]],Table1[[Player]:[Age]],5,FALSE)</f>
        <v>27</v>
      </c>
      <c r="F588" s="10">
        <f>MAX(
  _xlfn.IFNA(_xlfn.XLOOKUP(B588,'C'!B:B,'C'!E:E),  -1000000000),
  _xlfn.IFNA(_xlfn.XLOOKUP(B588, LW!B:B, LW!E:E), -1000000000),
  _xlfn.IFNA(_xlfn.XLOOKUP(B588, RW!B:B, RW!E:E), -1000000000),
  _xlfn.IFNA(_xlfn.XLOOKUP(B588, D!B:B,  D!E:E),  -1000000000)
)</f>
        <v>-2.8560989330493998</v>
      </c>
    </row>
    <row r="589" spans="2:6" x14ac:dyDescent="0.25">
      <c r="B589" t="s">
        <v>1254</v>
      </c>
      <c r="C589" s="17" t="str">
        <f>VLOOKUP(Table4[[#This Row],[Name]],Table1[[Player]:[Status]],4,FALSE)</f>
        <v>W &lt;small&gt;(Mon)&lt;/small&gt;</v>
      </c>
      <c r="D589" s="17" t="str">
        <f>VLOOKUP(Table4[[#This Row],[Name]],Table1[[Player]:[FP/G]],3,FALSE)</f>
        <v>LW,RW</v>
      </c>
      <c r="E589" s="17">
        <f>VLOOKUP(Table4[[#This Row],[Name]],Table1[[Player]:[Age]],5,FALSE)</f>
        <v>29</v>
      </c>
      <c r="F589" s="10">
        <f>MAX(
  _xlfn.IFNA(_xlfn.XLOOKUP(B589,'C'!B:B,'C'!E:E),  -1000000000),
  _xlfn.IFNA(_xlfn.XLOOKUP(B589, LW!B:B, LW!E:E), -1000000000),
  _xlfn.IFNA(_xlfn.XLOOKUP(B589, RW!B:B, RW!E:E), -1000000000),
  _xlfn.IFNA(_xlfn.XLOOKUP(B589, D!B:B,  D!E:E),  -1000000000)
)</f>
        <v>-2.8613316549640397</v>
      </c>
    </row>
    <row r="590" spans="2:6" x14ac:dyDescent="0.25">
      <c r="B590" t="s">
        <v>1246</v>
      </c>
      <c r="C590" s="17" t="str">
        <f>VLOOKUP(Table4[[#This Row],[Name]],Table1[[Player]:[Status]],4,FALSE)</f>
        <v>W &lt;small&gt;(Mon)&lt;/small&gt;</v>
      </c>
      <c r="D590" s="17" t="str">
        <f>VLOOKUP(Table4[[#This Row],[Name]],Table1[[Player]:[FP/G]],3,FALSE)</f>
        <v>C</v>
      </c>
      <c r="E590" s="17">
        <f>VLOOKUP(Table4[[#This Row],[Name]],Table1[[Player]:[Age]],5,FALSE)</f>
        <v>33</v>
      </c>
      <c r="F590" s="10">
        <f>MAX(
  _xlfn.IFNA(_xlfn.XLOOKUP(B590,'C'!B:B,'C'!E:E),  -1000000000),
  _xlfn.IFNA(_xlfn.XLOOKUP(B590, LW!B:B, LW!E:E), -1000000000),
  _xlfn.IFNA(_xlfn.XLOOKUP(B590, RW!B:B, RW!E:E), -1000000000),
  _xlfn.IFNA(_xlfn.XLOOKUP(B590, D!B:B,  D!E:E),  -1000000000)
)</f>
        <v>-2.8689425739174501</v>
      </c>
    </row>
    <row r="591" spans="2:6" x14ac:dyDescent="0.25">
      <c r="B591" t="s">
        <v>824</v>
      </c>
      <c r="C591" s="17" t="str">
        <f>VLOOKUP(Table4[[#This Row],[Name]],Table1[[Player]:[Status]],4,FALSE)</f>
        <v>W &lt;small&gt;(Mon)&lt;/small&gt;</v>
      </c>
      <c r="D591" s="17" t="str">
        <f>VLOOKUP(Table4[[#This Row],[Name]],Table1[[Player]:[FP/G]],3,FALSE)</f>
        <v>LW</v>
      </c>
      <c r="E591" s="17">
        <f>VLOOKUP(Table4[[#This Row],[Name]],Table1[[Player]:[Age]],5,FALSE)</f>
        <v>29</v>
      </c>
      <c r="F591" s="10">
        <f>MAX(
  _xlfn.IFNA(_xlfn.XLOOKUP(B591,'C'!B:B,'C'!E:E),  -1000000000),
  _xlfn.IFNA(_xlfn.XLOOKUP(B591, LW!B:B, LW!E:E), -1000000000),
  _xlfn.IFNA(_xlfn.XLOOKUP(B591, RW!B:B, RW!E:E), -1000000000),
  _xlfn.IFNA(_xlfn.XLOOKUP(B591, D!B:B,  D!E:E),  -1000000000)
)</f>
        <v>-2.87914789687464</v>
      </c>
    </row>
    <row r="592" spans="2:6" x14ac:dyDescent="0.25">
      <c r="B592" t="s">
        <v>1252</v>
      </c>
      <c r="C592" s="17" t="str">
        <f>VLOOKUP(Table4[[#This Row],[Name]],Table1[[Player]:[Status]],4,FALSE)</f>
        <v>W &lt;small&gt;(Mon)&lt;/small&gt;</v>
      </c>
      <c r="D592" s="17" t="str">
        <f>VLOOKUP(Table4[[#This Row],[Name]],Table1[[Player]:[FP/G]],3,FALSE)</f>
        <v>C,LW,RW</v>
      </c>
      <c r="E592" s="17">
        <f>VLOOKUP(Table4[[#This Row],[Name]],Table1[[Player]:[Age]],5,FALSE)</f>
        <v>29</v>
      </c>
      <c r="F592" s="10">
        <f>MAX(
  _xlfn.IFNA(_xlfn.XLOOKUP(B592,'C'!B:B,'C'!E:E),  -1000000000),
  _xlfn.IFNA(_xlfn.XLOOKUP(B592, LW!B:B, LW!E:E), -1000000000),
  _xlfn.IFNA(_xlfn.XLOOKUP(B592, RW!B:B, RW!E:E), -1000000000),
  _xlfn.IFNA(_xlfn.XLOOKUP(B592, D!B:B,  D!E:E),  -1000000000)
)</f>
        <v>-2.9227743927401404</v>
      </c>
    </row>
    <row r="593" spans="2:6" x14ac:dyDescent="0.25">
      <c r="B593" t="s">
        <v>1162</v>
      </c>
      <c r="C593" s="17" t="str">
        <f>VLOOKUP(Table4[[#This Row],[Name]],Table1[[Player]:[Status]],4,FALSE)</f>
        <v>W &lt;small&gt;(Mon)&lt;/small&gt;</v>
      </c>
      <c r="D593" s="17" t="str">
        <f>VLOOKUP(Table4[[#This Row],[Name]],Table1[[Player]:[FP/G]],3,FALSE)</f>
        <v>C,LW</v>
      </c>
      <c r="E593" s="17">
        <f>VLOOKUP(Table4[[#This Row],[Name]],Table1[[Player]:[Age]],5,FALSE)</f>
        <v>28</v>
      </c>
      <c r="F593" s="10">
        <f>MAX(
  _xlfn.IFNA(_xlfn.XLOOKUP(B593,'C'!B:B,'C'!E:E),  -1000000000),
  _xlfn.IFNA(_xlfn.XLOOKUP(B593, LW!B:B, LW!E:E), -1000000000),
  _xlfn.IFNA(_xlfn.XLOOKUP(B593, RW!B:B, RW!E:E), -1000000000),
  _xlfn.IFNA(_xlfn.XLOOKUP(B593, D!B:B,  D!E:E),  -1000000000)
)</f>
        <v>-2.9307363311317802</v>
      </c>
    </row>
    <row r="594" spans="2:6" x14ac:dyDescent="0.25">
      <c r="B594" t="s">
        <v>1102</v>
      </c>
      <c r="C594" s="17" t="str">
        <f>VLOOKUP(Table4[[#This Row],[Name]],Table1[[Player]:[Status]],4,FALSE)</f>
        <v>W &lt;small&gt;(Mon)&lt;/small&gt;</v>
      </c>
      <c r="D594" s="17" t="str">
        <f>VLOOKUP(Table4[[#This Row],[Name]],Table1[[Player]:[FP/G]],3,FALSE)</f>
        <v>C,RW</v>
      </c>
      <c r="E594" s="17">
        <f>VLOOKUP(Table4[[#This Row],[Name]],Table1[[Player]:[Age]],5,FALSE)</f>
        <v>32</v>
      </c>
      <c r="F594" s="10">
        <f>MAX(
  _xlfn.IFNA(_xlfn.XLOOKUP(B594,'C'!B:B,'C'!E:E),  -1000000000),
  _xlfn.IFNA(_xlfn.XLOOKUP(B594, LW!B:B, LW!E:E), -1000000000),
  _xlfn.IFNA(_xlfn.XLOOKUP(B594, RW!B:B, RW!E:E), -1000000000),
  _xlfn.IFNA(_xlfn.XLOOKUP(B594, D!B:B,  D!E:E),  -1000000000)
)</f>
        <v>-2.9436671430345203</v>
      </c>
    </row>
    <row r="595" spans="2:6" x14ac:dyDescent="0.25">
      <c r="B595" t="s">
        <v>1622</v>
      </c>
      <c r="C595" s="17" t="str">
        <f>VLOOKUP(Table4[[#This Row],[Name]],Table1[[Player]:[Status]],4,FALSE)</f>
        <v>W &lt;small&gt;(Mon)&lt;/small&gt;</v>
      </c>
      <c r="D595" s="17" t="str">
        <f>VLOOKUP(Table4[[#This Row],[Name]],Table1[[Player]:[FP/G]],3,FALSE)</f>
        <v>C,LW,RW</v>
      </c>
      <c r="E595" s="17">
        <f>VLOOKUP(Table4[[#This Row],[Name]],Table1[[Player]:[Age]],5,FALSE)</f>
        <v>23</v>
      </c>
      <c r="F595" s="10">
        <f>MAX(
  _xlfn.IFNA(_xlfn.XLOOKUP(B595,'C'!B:B,'C'!E:E),  -1000000000),
  _xlfn.IFNA(_xlfn.XLOOKUP(B595, LW!B:B, LW!E:E), -1000000000),
  _xlfn.IFNA(_xlfn.XLOOKUP(B595, RW!B:B, RW!E:E), -1000000000),
  _xlfn.IFNA(_xlfn.XLOOKUP(B595, D!B:B,  D!E:E),  -1000000000)
)</f>
        <v>-2.9484357580578604</v>
      </c>
    </row>
    <row r="596" spans="2:6" x14ac:dyDescent="0.25">
      <c r="B596" t="s">
        <v>1140</v>
      </c>
      <c r="C596" s="17" t="str">
        <f>VLOOKUP(Table4[[#This Row],[Name]],Table1[[Player]:[Status]],4,FALSE)</f>
        <v>W &lt;small&gt;(Mon)&lt;/small&gt;</v>
      </c>
      <c r="D596" s="17" t="str">
        <f>VLOOKUP(Table4[[#This Row],[Name]],Table1[[Player]:[FP/G]],3,FALSE)</f>
        <v>LW</v>
      </c>
      <c r="E596" s="17">
        <f>VLOOKUP(Table4[[#This Row],[Name]],Table1[[Player]:[Age]],5,FALSE)</f>
        <v>34</v>
      </c>
      <c r="F596" s="10">
        <f>MAX(
  _xlfn.IFNA(_xlfn.XLOOKUP(B596,'C'!B:B,'C'!E:E),  -1000000000),
  _xlfn.IFNA(_xlfn.XLOOKUP(B596, LW!B:B, LW!E:E), -1000000000),
  _xlfn.IFNA(_xlfn.XLOOKUP(B596, RW!B:B, RW!E:E), -1000000000),
  _xlfn.IFNA(_xlfn.XLOOKUP(B596, D!B:B,  D!E:E),  -1000000000)
)</f>
        <v>-2.9628237309757899</v>
      </c>
    </row>
    <row r="597" spans="2:6" x14ac:dyDescent="0.25">
      <c r="B597" t="s">
        <v>1216</v>
      </c>
      <c r="C597" s="17" t="str">
        <f>VLOOKUP(Table4[[#This Row],[Name]],Table1[[Player]:[Status]],4,FALSE)</f>
        <v>W &lt;small&gt;(Mon)&lt;/small&gt;</v>
      </c>
      <c r="D597" s="17" t="str">
        <f>VLOOKUP(Table4[[#This Row],[Name]],Table1[[Player]:[FP/G]],3,FALSE)</f>
        <v>LW,RW</v>
      </c>
      <c r="E597" s="17">
        <f>VLOOKUP(Table4[[#This Row],[Name]],Table1[[Player]:[Age]],5,FALSE)</f>
        <v>26</v>
      </c>
      <c r="F597" s="10">
        <f>MAX(
  _xlfn.IFNA(_xlfn.XLOOKUP(B597,'C'!B:B,'C'!E:E),  -1000000000),
  _xlfn.IFNA(_xlfn.XLOOKUP(B597, LW!B:B, LW!E:E), -1000000000),
  _xlfn.IFNA(_xlfn.XLOOKUP(B597, RW!B:B, RW!E:E), -1000000000),
  _xlfn.IFNA(_xlfn.XLOOKUP(B597, D!B:B,  D!E:E),  -1000000000)
)</f>
        <v>-2.9678932613203397</v>
      </c>
    </row>
    <row r="598" spans="2:6" x14ac:dyDescent="0.25">
      <c r="B598" t="s">
        <v>1056</v>
      </c>
      <c r="C598" s="17" t="str">
        <f>VLOOKUP(Table4[[#This Row],[Name]],Table1[[Player]:[Status]],4,FALSE)</f>
        <v>W &lt;small&gt;(Mon)&lt;/small&gt;</v>
      </c>
      <c r="D598" s="17" t="str">
        <f>VLOOKUP(Table4[[#This Row],[Name]],Table1[[Player]:[FP/G]],3,FALSE)</f>
        <v>RW</v>
      </c>
      <c r="E598" s="17">
        <f>VLOOKUP(Table4[[#This Row],[Name]],Table1[[Player]:[Age]],5,FALSE)</f>
        <v>26</v>
      </c>
      <c r="F598" s="10">
        <f>MAX(
  _xlfn.IFNA(_xlfn.XLOOKUP(B598,'C'!B:B,'C'!E:E),  -1000000000),
  _xlfn.IFNA(_xlfn.XLOOKUP(B598, LW!B:B, LW!E:E), -1000000000),
  _xlfn.IFNA(_xlfn.XLOOKUP(B598, RW!B:B, RW!E:E), -1000000000),
  _xlfn.IFNA(_xlfn.XLOOKUP(B598, D!B:B,  D!E:E),  -1000000000)
)</f>
        <v>-2.9807268737417001</v>
      </c>
    </row>
    <row r="599" spans="2:6" x14ac:dyDescent="0.25">
      <c r="B599" t="s">
        <v>1636</v>
      </c>
      <c r="C599" s="17" t="str">
        <f>VLOOKUP(Table4[[#This Row],[Name]],Table1[[Player]:[Status]],4,FALSE)</f>
        <v>W &lt;small&gt;(Mon)&lt;/small&gt;</v>
      </c>
      <c r="D599" s="17" t="str">
        <f>VLOOKUP(Table4[[#This Row],[Name]],Table1[[Player]:[FP/G]],3,FALSE)</f>
        <v>LW,RW</v>
      </c>
      <c r="E599" s="17">
        <f>VLOOKUP(Table4[[#This Row],[Name]],Table1[[Player]:[Age]],5,FALSE)</f>
        <v>26</v>
      </c>
      <c r="F599" s="10">
        <f>MAX(
  _xlfn.IFNA(_xlfn.XLOOKUP(B599,'C'!B:B,'C'!E:E),  -1000000000),
  _xlfn.IFNA(_xlfn.XLOOKUP(B599, LW!B:B, LW!E:E), -1000000000),
  _xlfn.IFNA(_xlfn.XLOOKUP(B599, RW!B:B, RW!E:E), -1000000000),
  _xlfn.IFNA(_xlfn.XLOOKUP(B599, D!B:B,  D!E:E),  -1000000000)
)</f>
        <v>-2.9886917346302999</v>
      </c>
    </row>
    <row r="600" spans="2:6" x14ac:dyDescent="0.25">
      <c r="B600" t="s">
        <v>1625</v>
      </c>
      <c r="C600" s="17" t="str">
        <f>VLOOKUP(Table4[[#This Row],[Name]],Table1[[Player]:[Status]],4,FALSE)</f>
        <v>W &lt;small&gt;(Mon)&lt;/small&gt;</v>
      </c>
      <c r="D600" s="17" t="str">
        <f>VLOOKUP(Table4[[#This Row],[Name]],Table1[[Player]:[FP/G]],3,FALSE)</f>
        <v>C</v>
      </c>
      <c r="E600" s="17">
        <f>VLOOKUP(Table4[[#This Row],[Name]],Table1[[Player]:[Age]],5,FALSE)</f>
        <v>25</v>
      </c>
      <c r="F600" s="10">
        <f>MAX(
  _xlfn.IFNA(_xlfn.XLOOKUP(B600,'C'!B:B,'C'!E:E),  -1000000000),
  _xlfn.IFNA(_xlfn.XLOOKUP(B600, LW!B:B, LW!E:E), -1000000000),
  _xlfn.IFNA(_xlfn.XLOOKUP(B600, RW!B:B, RW!E:E), -1000000000),
  _xlfn.IFNA(_xlfn.XLOOKUP(B600, D!B:B,  D!E:E),  -1000000000)
)</f>
        <v>-2.9990058962708801</v>
      </c>
    </row>
    <row r="601" spans="2:6" x14ac:dyDescent="0.25">
      <c r="B601" t="s">
        <v>1144</v>
      </c>
      <c r="C601" s="17" t="str">
        <f>VLOOKUP(Table4[[#This Row],[Name]],Table1[[Player]:[Status]],4,FALSE)</f>
        <v>W &lt;small&gt;(Mon)&lt;/small&gt;</v>
      </c>
      <c r="D601" s="17" t="str">
        <f>VLOOKUP(Table4[[#This Row],[Name]],Table1[[Player]:[FP/G]],3,FALSE)</f>
        <v>LW</v>
      </c>
      <c r="E601" s="17">
        <f>VLOOKUP(Table4[[#This Row],[Name]],Table1[[Player]:[Age]],5,FALSE)</f>
        <v>25</v>
      </c>
      <c r="F601" s="10">
        <f>MAX(
  _xlfn.IFNA(_xlfn.XLOOKUP(B601,'C'!B:B,'C'!E:E),  -1000000000),
  _xlfn.IFNA(_xlfn.XLOOKUP(B601, LW!B:B, LW!E:E), -1000000000),
  _xlfn.IFNA(_xlfn.XLOOKUP(B601, RW!B:B, RW!E:E), -1000000000),
  _xlfn.IFNA(_xlfn.XLOOKUP(B601, D!B:B,  D!E:E),  -1000000000)
)</f>
        <v>-3.0178260961775596</v>
      </c>
    </row>
    <row r="602" spans="2:6" x14ac:dyDescent="0.25">
      <c r="B602" t="s">
        <v>1090</v>
      </c>
      <c r="C602" s="17" t="str">
        <f>VLOOKUP(Table4[[#This Row],[Name]],Table1[[Player]:[Status]],4,FALSE)</f>
        <v>W &lt;small&gt;(Mon)&lt;/small&gt;</v>
      </c>
      <c r="D602" s="17" t="str">
        <f>VLOOKUP(Table4[[#This Row],[Name]],Table1[[Player]:[FP/G]],3,FALSE)</f>
        <v>LW</v>
      </c>
      <c r="E602" s="17">
        <f>VLOOKUP(Table4[[#This Row],[Name]],Table1[[Player]:[Age]],5,FALSE)</f>
        <v>27</v>
      </c>
      <c r="F602" s="10">
        <f>MAX(
  _xlfn.IFNA(_xlfn.XLOOKUP(B602,'C'!B:B,'C'!E:E),  -1000000000),
  _xlfn.IFNA(_xlfn.XLOOKUP(B602, LW!B:B, LW!E:E), -1000000000),
  _xlfn.IFNA(_xlfn.XLOOKUP(B602, RW!B:B, RW!E:E), -1000000000),
  _xlfn.IFNA(_xlfn.XLOOKUP(B602, D!B:B,  D!E:E),  -1000000000)
)</f>
        <v>-3.0281491895772099</v>
      </c>
    </row>
    <row r="603" spans="2:6" x14ac:dyDescent="0.25">
      <c r="B603" t="s">
        <v>758</v>
      </c>
      <c r="C603" s="17" t="str">
        <f>VLOOKUP(Table4[[#This Row],[Name]],Table1[[Player]:[Status]],4,FALSE)</f>
        <v>W &lt;small&gt;(Mon)&lt;/small&gt;</v>
      </c>
      <c r="D603" s="17" t="str">
        <f>VLOOKUP(Table4[[#This Row],[Name]],Table1[[Player]:[FP/G]],3,FALSE)</f>
        <v>LW,RW</v>
      </c>
      <c r="E603" s="17">
        <f>VLOOKUP(Table4[[#This Row],[Name]],Table1[[Player]:[Age]],5,FALSE)</f>
        <v>26</v>
      </c>
      <c r="F603" s="10">
        <f>MAX(
  _xlfn.IFNA(_xlfn.XLOOKUP(B603,'C'!B:B,'C'!E:E),  -1000000000),
  _xlfn.IFNA(_xlfn.XLOOKUP(B603, LW!B:B, LW!E:E), -1000000000),
  _xlfn.IFNA(_xlfn.XLOOKUP(B603, RW!B:B, RW!E:E), -1000000000),
  _xlfn.IFNA(_xlfn.XLOOKUP(B603, D!B:B,  D!E:E),  -1000000000)
)</f>
        <v>-3.0526386139306898</v>
      </c>
    </row>
    <row r="604" spans="2:6" x14ac:dyDescent="0.25">
      <c r="B604" t="s">
        <v>1096</v>
      </c>
      <c r="C604" s="17" t="str">
        <f>VLOOKUP(Table4[[#This Row],[Name]],Table1[[Player]:[Status]],4,FALSE)</f>
        <v>W &lt;small&gt;(Mon)&lt;/small&gt;</v>
      </c>
      <c r="D604" s="17" t="str">
        <f>VLOOKUP(Table4[[#This Row],[Name]],Table1[[Player]:[FP/G]],3,FALSE)</f>
        <v>RW</v>
      </c>
      <c r="E604" s="17">
        <f>VLOOKUP(Table4[[#This Row],[Name]],Table1[[Player]:[Age]],5,FALSE)</f>
        <v>30</v>
      </c>
      <c r="F604" s="10">
        <f>MAX(
  _xlfn.IFNA(_xlfn.XLOOKUP(B604,'C'!B:B,'C'!E:E),  -1000000000),
  _xlfn.IFNA(_xlfn.XLOOKUP(B604, LW!B:B, LW!E:E), -1000000000),
  _xlfn.IFNA(_xlfn.XLOOKUP(B604, RW!B:B, RW!E:E), -1000000000),
  _xlfn.IFNA(_xlfn.XLOOKUP(B604, D!B:B,  D!E:E),  -1000000000)
)</f>
        <v>-3.0670678992604099</v>
      </c>
    </row>
    <row r="605" spans="2:6" x14ac:dyDescent="0.25">
      <c r="B605" t="s">
        <v>1345</v>
      </c>
      <c r="C605" s="17" t="str">
        <f>VLOOKUP(Table4[[#This Row],[Name]],Table1[[Player]:[Status]],4,FALSE)</f>
        <v>W &lt;small&gt;(Mon)&lt;/small&gt;</v>
      </c>
      <c r="D605" s="17" t="str">
        <f>VLOOKUP(Table4[[#This Row],[Name]],Table1[[Player]:[FP/G]],3,FALSE)</f>
        <v>C,RW</v>
      </c>
      <c r="E605" s="17">
        <f>VLOOKUP(Table4[[#This Row],[Name]],Table1[[Player]:[Age]],5,FALSE)</f>
        <v>27</v>
      </c>
      <c r="F605" s="10">
        <f>MAX(
  _xlfn.IFNA(_xlfn.XLOOKUP(B605,'C'!B:B,'C'!E:E),  -1000000000),
  _xlfn.IFNA(_xlfn.XLOOKUP(B605, LW!B:B, LW!E:E), -1000000000),
  _xlfn.IFNA(_xlfn.XLOOKUP(B605, RW!B:B, RW!E:E), -1000000000),
  _xlfn.IFNA(_xlfn.XLOOKUP(B605, D!B:B,  D!E:E),  -1000000000)
)</f>
        <v>-3.0681449451423202</v>
      </c>
    </row>
    <row r="606" spans="2:6" x14ac:dyDescent="0.25">
      <c r="B606" t="s">
        <v>1268</v>
      </c>
      <c r="C606" s="17" t="str">
        <f>VLOOKUP(Table4[[#This Row],[Name]],Table1[[Player]:[Status]],4,FALSE)</f>
        <v>W &lt;small&gt;(Mon)&lt;/small&gt;</v>
      </c>
      <c r="D606" s="17" t="str">
        <f>VLOOKUP(Table4[[#This Row],[Name]],Table1[[Player]:[FP/G]],3,FALSE)</f>
        <v>LW</v>
      </c>
      <c r="E606" s="17">
        <f>VLOOKUP(Table4[[#This Row],[Name]],Table1[[Player]:[Age]],5,FALSE)</f>
        <v>29</v>
      </c>
      <c r="F606" s="10">
        <f>MAX(
  _xlfn.IFNA(_xlfn.XLOOKUP(B606,'C'!B:B,'C'!E:E),  -1000000000),
  _xlfn.IFNA(_xlfn.XLOOKUP(B606, LW!B:B, LW!E:E), -1000000000),
  _xlfn.IFNA(_xlfn.XLOOKUP(B606, RW!B:B, RW!E:E), -1000000000),
  _xlfn.IFNA(_xlfn.XLOOKUP(B606, D!B:B,  D!E:E),  -1000000000)
)</f>
        <v>-3.0810331686048298</v>
      </c>
    </row>
    <row r="607" spans="2:6" x14ac:dyDescent="0.25">
      <c r="B607" t="s">
        <v>1026</v>
      </c>
      <c r="C607" s="17" t="str">
        <f>VLOOKUP(Table4[[#This Row],[Name]],Table1[[Player]:[Status]],4,FALSE)</f>
        <v>W &lt;small&gt;(Mon)&lt;/small&gt;</v>
      </c>
      <c r="D607" s="17" t="str">
        <f>VLOOKUP(Table4[[#This Row],[Name]],Table1[[Player]:[FP/G]],3,FALSE)</f>
        <v>LW,RW</v>
      </c>
      <c r="E607" s="17">
        <f>VLOOKUP(Table4[[#This Row],[Name]],Table1[[Player]:[Age]],5,FALSE)</f>
        <v>33</v>
      </c>
      <c r="F607" s="10">
        <f>MAX(
  _xlfn.IFNA(_xlfn.XLOOKUP(B607,'C'!B:B,'C'!E:E),  -1000000000),
  _xlfn.IFNA(_xlfn.XLOOKUP(B607, LW!B:B, LW!E:E), -1000000000),
  _xlfn.IFNA(_xlfn.XLOOKUP(B607, RW!B:B, RW!E:E), -1000000000),
  _xlfn.IFNA(_xlfn.XLOOKUP(B607, D!B:B,  D!E:E),  -1000000000)
)</f>
        <v>-3.08408684346358</v>
      </c>
    </row>
    <row r="608" spans="2:6" x14ac:dyDescent="0.25">
      <c r="B608" t="s">
        <v>1617</v>
      </c>
      <c r="C608" s="17" t="str">
        <f>VLOOKUP(Table4[[#This Row],[Name]],Table1[[Player]:[Status]],4,FALSE)</f>
        <v>W &lt;small&gt;(Mon)&lt;/small&gt;</v>
      </c>
      <c r="D608" s="17" t="str">
        <f>VLOOKUP(Table4[[#This Row],[Name]],Table1[[Player]:[FP/G]],3,FALSE)</f>
        <v>LW,RW</v>
      </c>
      <c r="E608" s="17">
        <f>VLOOKUP(Table4[[#This Row],[Name]],Table1[[Player]:[Age]],5,FALSE)</f>
        <v>25</v>
      </c>
      <c r="F608" s="10">
        <f>MAX(
  _xlfn.IFNA(_xlfn.XLOOKUP(B608,'C'!B:B,'C'!E:E),  -1000000000),
  _xlfn.IFNA(_xlfn.XLOOKUP(B608, LW!B:B, LW!E:E), -1000000000),
  _xlfn.IFNA(_xlfn.XLOOKUP(B608, RW!B:B, RW!E:E), -1000000000),
  _xlfn.IFNA(_xlfn.XLOOKUP(B608, D!B:B,  D!E:E),  -1000000000)
)</f>
        <v>-3.1247960012010596</v>
      </c>
    </row>
    <row r="609" spans="2:6" x14ac:dyDescent="0.25">
      <c r="B609" t="s">
        <v>1172</v>
      </c>
      <c r="C609" s="17" t="str">
        <f>VLOOKUP(Table4[[#This Row],[Name]],Table1[[Player]:[Status]],4,FALSE)</f>
        <v>W &lt;small&gt;(Mon)&lt;/small&gt;</v>
      </c>
      <c r="D609" s="17" t="str">
        <f>VLOOKUP(Table4[[#This Row],[Name]],Table1[[Player]:[FP/G]],3,FALSE)</f>
        <v>RW</v>
      </c>
      <c r="E609" s="17">
        <f>VLOOKUP(Table4[[#This Row],[Name]],Table1[[Player]:[Age]],5,FALSE)</f>
        <v>31</v>
      </c>
      <c r="F609" s="10">
        <f>MAX(
  _xlfn.IFNA(_xlfn.XLOOKUP(B609,'C'!B:B,'C'!E:E),  -1000000000),
  _xlfn.IFNA(_xlfn.XLOOKUP(B609, LW!B:B, LW!E:E), -1000000000),
  _xlfn.IFNA(_xlfn.XLOOKUP(B609, RW!B:B, RW!E:E), -1000000000),
  _xlfn.IFNA(_xlfn.XLOOKUP(B609, D!B:B,  D!E:E),  -1000000000)
)</f>
        <v>-3.1346351821084601</v>
      </c>
    </row>
    <row r="610" spans="2:6" x14ac:dyDescent="0.25">
      <c r="B610" t="s">
        <v>1627</v>
      </c>
      <c r="C610" s="17" t="str">
        <f>VLOOKUP(Table4[[#This Row],[Name]],Table1[[Player]:[Status]],4,FALSE)</f>
        <v>W &lt;small&gt;(Mon)&lt;/small&gt;</v>
      </c>
      <c r="D610" s="17" t="str">
        <f>VLOOKUP(Table4[[#This Row],[Name]],Table1[[Player]:[FP/G]],3,FALSE)</f>
        <v>C,RW</v>
      </c>
      <c r="E610" s="17">
        <f>VLOOKUP(Table4[[#This Row],[Name]],Table1[[Player]:[Age]],5,FALSE)</f>
        <v>29</v>
      </c>
      <c r="F610" s="10">
        <f>MAX(
  _xlfn.IFNA(_xlfn.XLOOKUP(B610,'C'!B:B,'C'!E:E),  -1000000000),
  _xlfn.IFNA(_xlfn.XLOOKUP(B610, LW!B:B, LW!E:E), -1000000000),
  _xlfn.IFNA(_xlfn.XLOOKUP(B610, RW!B:B, RW!E:E), -1000000000),
  _xlfn.IFNA(_xlfn.XLOOKUP(B610, D!B:B,  D!E:E),  -1000000000)
)</f>
        <v>-3.2077211168987105</v>
      </c>
    </row>
    <row r="611" spans="2:6" x14ac:dyDescent="0.25">
      <c r="B611" t="s">
        <v>1608</v>
      </c>
      <c r="C611" s="17" t="str">
        <f>VLOOKUP(Table4[[#This Row],[Name]],Table1[[Player]:[Status]],4,FALSE)</f>
        <v>W &lt;small&gt;(Mon)&lt;/small&gt;</v>
      </c>
      <c r="D611" s="17" t="str">
        <f>VLOOKUP(Table4[[#This Row],[Name]],Table1[[Player]:[FP/G]],3,FALSE)</f>
        <v>LW</v>
      </c>
      <c r="E611" s="17">
        <f>VLOOKUP(Table4[[#This Row],[Name]],Table1[[Player]:[Age]],5,FALSE)</f>
        <v>27</v>
      </c>
      <c r="F611" s="10">
        <f>MAX(
  _xlfn.IFNA(_xlfn.XLOOKUP(B611,'C'!B:B,'C'!E:E),  -1000000000),
  _xlfn.IFNA(_xlfn.XLOOKUP(B611, LW!B:B, LW!E:E), -1000000000),
  _xlfn.IFNA(_xlfn.XLOOKUP(B611, RW!B:B, RW!E:E), -1000000000),
  _xlfn.IFNA(_xlfn.XLOOKUP(B611, D!B:B,  D!E:E),  -1000000000)
)</f>
        <v>-3.2184064849171099</v>
      </c>
    </row>
    <row r="612" spans="2:6" x14ac:dyDescent="0.25">
      <c r="B612" t="s">
        <v>1188</v>
      </c>
      <c r="C612" s="17" t="str">
        <f>VLOOKUP(Table4[[#This Row],[Name]],Table1[[Player]:[Status]],4,FALSE)</f>
        <v>W &lt;small&gt;(Mon)&lt;/small&gt;</v>
      </c>
      <c r="D612" s="17" t="str">
        <f>VLOOKUP(Table4[[#This Row],[Name]],Table1[[Player]:[FP/G]],3,FALSE)</f>
        <v>LW</v>
      </c>
      <c r="E612" s="17">
        <f>VLOOKUP(Table4[[#This Row],[Name]],Table1[[Player]:[Age]],5,FALSE)</f>
        <v>33</v>
      </c>
      <c r="F612" s="10">
        <f>MAX(
  _xlfn.IFNA(_xlfn.XLOOKUP(B612,'C'!B:B,'C'!E:E),  -1000000000),
  _xlfn.IFNA(_xlfn.XLOOKUP(B612, LW!B:B, LW!E:E), -1000000000),
  _xlfn.IFNA(_xlfn.XLOOKUP(B612, RW!B:B, RW!E:E), -1000000000),
  _xlfn.IFNA(_xlfn.XLOOKUP(B612, D!B:B,  D!E:E),  -1000000000)
)</f>
        <v>-3.2228414620779597</v>
      </c>
    </row>
    <row r="613" spans="2:6" x14ac:dyDescent="0.25">
      <c r="B613" t="s">
        <v>1644</v>
      </c>
      <c r="C613" s="17" t="str">
        <f>VLOOKUP(Table4[[#This Row],[Name]],Table1[[Player]:[Status]],4,FALSE)</f>
        <v>W &lt;small&gt;(Mon)&lt;/small&gt;</v>
      </c>
      <c r="D613" s="17" t="str">
        <f>VLOOKUP(Table4[[#This Row],[Name]],Table1[[Player]:[FP/G]],3,FALSE)</f>
        <v>C</v>
      </c>
      <c r="E613" s="17">
        <f>VLOOKUP(Table4[[#This Row],[Name]],Table1[[Player]:[Age]],5,FALSE)</f>
        <v>26</v>
      </c>
      <c r="F613" s="10">
        <f>MAX(
  _xlfn.IFNA(_xlfn.XLOOKUP(B613,'C'!B:B,'C'!E:E),  -1000000000),
  _xlfn.IFNA(_xlfn.XLOOKUP(B613, LW!B:B, LW!E:E), -1000000000),
  _xlfn.IFNA(_xlfn.XLOOKUP(B613, RW!B:B, RW!E:E), -1000000000),
  _xlfn.IFNA(_xlfn.XLOOKUP(B613, D!B:B,  D!E:E),  -1000000000)
)</f>
        <v>-3.2364313673692404</v>
      </c>
    </row>
    <row r="614" spans="2:6" x14ac:dyDescent="0.25">
      <c r="B614" t="s">
        <v>1134</v>
      </c>
      <c r="C614" s="17" t="str">
        <f>VLOOKUP(Table4[[#This Row],[Name]],Table1[[Player]:[Status]],4,FALSE)</f>
        <v>W &lt;small&gt;(Mon)&lt;/small&gt;</v>
      </c>
      <c r="D614" s="17" t="str">
        <f>VLOOKUP(Table4[[#This Row],[Name]],Table1[[Player]:[FP/G]],3,FALSE)</f>
        <v>LW</v>
      </c>
      <c r="E614" s="17">
        <f>VLOOKUP(Table4[[#This Row],[Name]],Table1[[Player]:[Age]],5,FALSE)</f>
        <v>25</v>
      </c>
      <c r="F614" s="10">
        <f>MAX(
  _xlfn.IFNA(_xlfn.XLOOKUP(B614,'C'!B:B,'C'!E:E),  -1000000000),
  _xlfn.IFNA(_xlfn.XLOOKUP(B614, LW!B:B, LW!E:E), -1000000000),
  _xlfn.IFNA(_xlfn.XLOOKUP(B614, RW!B:B, RW!E:E), -1000000000),
  _xlfn.IFNA(_xlfn.XLOOKUP(B614, D!B:B,  D!E:E),  -1000000000)
)</f>
        <v>-3.2366210793250998</v>
      </c>
    </row>
    <row r="615" spans="2:6" x14ac:dyDescent="0.25">
      <c r="B615" t="s">
        <v>1631</v>
      </c>
      <c r="C615" s="17" t="str">
        <f>VLOOKUP(Table4[[#This Row],[Name]],Table1[[Player]:[Status]],4,FALSE)</f>
        <v>W &lt;small&gt;(Mon)&lt;/small&gt;</v>
      </c>
      <c r="D615" s="17" t="str">
        <f>VLOOKUP(Table4[[#This Row],[Name]],Table1[[Player]:[FP/G]],3,FALSE)</f>
        <v>C</v>
      </c>
      <c r="E615" s="17">
        <f>VLOOKUP(Table4[[#This Row],[Name]],Table1[[Player]:[Age]],5,FALSE)</f>
        <v>28</v>
      </c>
      <c r="F615" s="10">
        <f>MAX(
  _xlfn.IFNA(_xlfn.XLOOKUP(B615,'C'!B:B,'C'!E:E),  -1000000000),
  _xlfn.IFNA(_xlfn.XLOOKUP(B615, LW!B:B, LW!E:E), -1000000000),
  _xlfn.IFNA(_xlfn.XLOOKUP(B615, RW!B:B, RW!E:E), -1000000000),
  _xlfn.IFNA(_xlfn.XLOOKUP(B615, D!B:B,  D!E:E),  -1000000000)
)</f>
        <v>-3.2466654814035305</v>
      </c>
    </row>
    <row r="616" spans="2:6" x14ac:dyDescent="0.25">
      <c r="B616" t="s">
        <v>1634</v>
      </c>
      <c r="C616" s="17" t="str">
        <f>VLOOKUP(Table4[[#This Row],[Name]],Table1[[Player]:[Status]],4,FALSE)</f>
        <v>W &lt;small&gt;(Mon)&lt;/small&gt;</v>
      </c>
      <c r="D616" s="17" t="str">
        <f>VLOOKUP(Table4[[#This Row],[Name]],Table1[[Player]:[FP/G]],3,FALSE)</f>
        <v>C</v>
      </c>
      <c r="E616" s="17">
        <f>VLOOKUP(Table4[[#This Row],[Name]],Table1[[Player]:[Age]],5,FALSE)</f>
        <v>25</v>
      </c>
      <c r="F616" s="10">
        <f>MAX(
  _xlfn.IFNA(_xlfn.XLOOKUP(B616,'C'!B:B,'C'!E:E),  -1000000000),
  _xlfn.IFNA(_xlfn.XLOOKUP(B616, LW!B:B, LW!E:E), -1000000000),
  _xlfn.IFNA(_xlfn.XLOOKUP(B616, RW!B:B, RW!E:E), -1000000000),
  _xlfn.IFNA(_xlfn.XLOOKUP(B616, D!B:B,  D!E:E),  -1000000000)
)</f>
        <v>-3.2638977811274903</v>
      </c>
    </row>
    <row r="617" spans="2:6" x14ac:dyDescent="0.25">
      <c r="B617" t="s">
        <v>1082</v>
      </c>
      <c r="C617" s="17" t="str">
        <f>VLOOKUP(Table4[[#This Row],[Name]],Table1[[Player]:[Status]],4,FALSE)</f>
        <v>W &lt;small&gt;(Mon)&lt;/small&gt;</v>
      </c>
      <c r="D617" s="17" t="str">
        <f>VLOOKUP(Table4[[#This Row],[Name]],Table1[[Player]:[FP/G]],3,FALSE)</f>
        <v>LW</v>
      </c>
      <c r="E617" s="17">
        <f>VLOOKUP(Table4[[#This Row],[Name]],Table1[[Player]:[Age]],5,FALSE)</f>
        <v>29</v>
      </c>
      <c r="F617" s="10">
        <f>MAX(
  _xlfn.IFNA(_xlfn.XLOOKUP(B617,'C'!B:B,'C'!E:E),  -1000000000),
  _xlfn.IFNA(_xlfn.XLOOKUP(B617, LW!B:B, LW!E:E), -1000000000),
  _xlfn.IFNA(_xlfn.XLOOKUP(B617, RW!B:B, RW!E:E), -1000000000),
  _xlfn.IFNA(_xlfn.XLOOKUP(B617, D!B:B,  D!E:E),  -1000000000)
)</f>
        <v>-3.2918059064885101</v>
      </c>
    </row>
    <row r="618" spans="2:6" x14ac:dyDescent="0.25">
      <c r="B618" t="s">
        <v>1072</v>
      </c>
      <c r="C618" s="17" t="str">
        <f>VLOOKUP(Table4[[#This Row],[Name]],Table1[[Player]:[Status]],4,FALSE)</f>
        <v>W &lt;small&gt;(Mon)&lt;/small&gt;</v>
      </c>
      <c r="D618" s="17" t="str">
        <f>VLOOKUP(Table4[[#This Row],[Name]],Table1[[Player]:[FP/G]],3,FALSE)</f>
        <v>RW</v>
      </c>
      <c r="E618" s="17">
        <f>VLOOKUP(Table4[[#This Row],[Name]],Table1[[Player]:[Age]],5,FALSE)</f>
        <v>29</v>
      </c>
      <c r="F618" s="10">
        <f>MAX(
  _xlfn.IFNA(_xlfn.XLOOKUP(B618,'C'!B:B,'C'!E:E),  -1000000000),
  _xlfn.IFNA(_xlfn.XLOOKUP(B618, LW!B:B, LW!E:E), -1000000000),
  _xlfn.IFNA(_xlfn.XLOOKUP(B618, RW!B:B, RW!E:E), -1000000000),
  _xlfn.IFNA(_xlfn.XLOOKUP(B618, D!B:B,  D!E:E),  -1000000000)
)</f>
        <v>-3.2932482276150399</v>
      </c>
    </row>
    <row r="619" spans="2:6" x14ac:dyDescent="0.25">
      <c r="B619" t="s">
        <v>1234</v>
      </c>
      <c r="C619" s="17" t="str">
        <f>VLOOKUP(Table4[[#This Row],[Name]],Table1[[Player]:[Status]],4,FALSE)</f>
        <v>W &lt;small&gt;(Mon)&lt;/small&gt;</v>
      </c>
      <c r="D619" s="17" t="str">
        <f>VLOOKUP(Table4[[#This Row],[Name]],Table1[[Player]:[FP/G]],3,FALSE)</f>
        <v>LW</v>
      </c>
      <c r="E619" s="17">
        <f>VLOOKUP(Table4[[#This Row],[Name]],Table1[[Player]:[Age]],5,FALSE)</f>
        <v>27</v>
      </c>
      <c r="F619" s="10">
        <f>MAX(
  _xlfn.IFNA(_xlfn.XLOOKUP(B619,'C'!B:B,'C'!E:E),  -1000000000),
  _xlfn.IFNA(_xlfn.XLOOKUP(B619, LW!B:B, LW!E:E), -1000000000),
  _xlfn.IFNA(_xlfn.XLOOKUP(B619, RW!B:B, RW!E:E), -1000000000),
  _xlfn.IFNA(_xlfn.XLOOKUP(B619, D!B:B,  D!E:E),  -1000000000)
)</f>
        <v>-3.3113448045819398</v>
      </c>
    </row>
    <row r="620" spans="2:6" x14ac:dyDescent="0.25">
      <c r="B620" t="s">
        <v>1212</v>
      </c>
      <c r="C620" s="17" t="str">
        <f>VLOOKUP(Table4[[#This Row],[Name]],Table1[[Player]:[Status]],4,FALSE)</f>
        <v>W &lt;small&gt;(Mon)&lt;/small&gt;</v>
      </c>
      <c r="D620" s="17" t="str">
        <f>VLOOKUP(Table4[[#This Row],[Name]],Table1[[Player]:[FP/G]],3,FALSE)</f>
        <v>RW</v>
      </c>
      <c r="E620" s="17">
        <f>VLOOKUP(Table4[[#This Row],[Name]],Table1[[Player]:[Age]],5,FALSE)</f>
        <v>25</v>
      </c>
      <c r="F620" s="10">
        <f>MAX(
  _xlfn.IFNA(_xlfn.XLOOKUP(B620,'C'!B:B,'C'!E:E),  -1000000000),
  _xlfn.IFNA(_xlfn.XLOOKUP(B620, LW!B:B, LW!E:E), -1000000000),
  _xlfn.IFNA(_xlfn.XLOOKUP(B620, RW!B:B, RW!E:E), -1000000000),
  _xlfn.IFNA(_xlfn.XLOOKUP(B620, D!B:B,  D!E:E),  -1000000000)
)</f>
        <v>-3.3133917330243099</v>
      </c>
    </row>
    <row r="621" spans="2:6" x14ac:dyDescent="0.25">
      <c r="B621" t="s">
        <v>1256</v>
      </c>
      <c r="C621" s="17" t="str">
        <f>VLOOKUP(Table4[[#This Row],[Name]],Table1[[Player]:[Status]],4,FALSE)</f>
        <v>W &lt;small&gt;(Mon)&lt;/small&gt;</v>
      </c>
      <c r="D621" s="17" t="str">
        <f>VLOOKUP(Table4[[#This Row],[Name]],Table1[[Player]:[FP/G]],3,FALSE)</f>
        <v>LW</v>
      </c>
      <c r="E621" s="17">
        <f>VLOOKUP(Table4[[#This Row],[Name]],Table1[[Player]:[Age]],5,FALSE)</f>
        <v>26</v>
      </c>
      <c r="F621" s="10">
        <f>MAX(
  _xlfn.IFNA(_xlfn.XLOOKUP(B621,'C'!B:B,'C'!E:E),  -1000000000),
  _xlfn.IFNA(_xlfn.XLOOKUP(B621, LW!B:B, LW!E:E), -1000000000),
  _xlfn.IFNA(_xlfn.XLOOKUP(B621, RW!B:B, RW!E:E), -1000000000),
  _xlfn.IFNA(_xlfn.XLOOKUP(B621, D!B:B,  D!E:E),  -1000000000)
)</f>
        <v>-3.32128674018516</v>
      </c>
    </row>
    <row r="622" spans="2:6" x14ac:dyDescent="0.25">
      <c r="B622" t="s">
        <v>1070</v>
      </c>
      <c r="C622" s="17" t="str">
        <f>VLOOKUP(Table4[[#This Row],[Name]],Table1[[Player]:[Status]],4,FALSE)</f>
        <v>W &lt;small&gt;(Mon)&lt;/small&gt;</v>
      </c>
      <c r="D622" s="17" t="str">
        <f>VLOOKUP(Table4[[#This Row],[Name]],Table1[[Player]:[FP/G]],3,FALSE)</f>
        <v>RW</v>
      </c>
      <c r="E622" s="17">
        <f>VLOOKUP(Table4[[#This Row],[Name]],Table1[[Player]:[Age]],5,FALSE)</f>
        <v>28</v>
      </c>
      <c r="F622" s="10">
        <f>MAX(
  _xlfn.IFNA(_xlfn.XLOOKUP(B622,'C'!B:B,'C'!E:E),  -1000000000),
  _xlfn.IFNA(_xlfn.XLOOKUP(B622, LW!B:B, LW!E:E), -1000000000),
  _xlfn.IFNA(_xlfn.XLOOKUP(B622, RW!B:B, RW!E:E), -1000000000),
  _xlfn.IFNA(_xlfn.XLOOKUP(B622, D!B:B,  D!E:E),  -1000000000)
)</f>
        <v>-3.3317272943041898</v>
      </c>
    </row>
    <row r="623" spans="2:6" x14ac:dyDescent="0.25">
      <c r="B623" t="s">
        <v>1222</v>
      </c>
      <c r="C623" s="17" t="str">
        <f>VLOOKUP(Table4[[#This Row],[Name]],Table1[[Player]:[Status]],4,FALSE)</f>
        <v>W &lt;small&gt;(Mon)&lt;/small&gt;</v>
      </c>
      <c r="D623" s="17" t="str">
        <f>VLOOKUP(Table4[[#This Row],[Name]],Table1[[Player]:[FP/G]],3,FALSE)</f>
        <v>RW</v>
      </c>
      <c r="E623" s="17">
        <f>VLOOKUP(Table4[[#This Row],[Name]],Table1[[Player]:[Age]],5,FALSE)</f>
        <v>28</v>
      </c>
      <c r="F623" s="10">
        <f>MAX(
  _xlfn.IFNA(_xlfn.XLOOKUP(B623,'C'!B:B,'C'!E:E),  -1000000000),
  _xlfn.IFNA(_xlfn.XLOOKUP(B623, LW!B:B, LW!E:E), -1000000000),
  _xlfn.IFNA(_xlfn.XLOOKUP(B623, RW!B:B, RW!E:E), -1000000000),
  _xlfn.IFNA(_xlfn.XLOOKUP(B623, D!B:B,  D!E:E),  -1000000000)
)</f>
        <v>-3.3407099800065598</v>
      </c>
    </row>
    <row r="624" spans="2:6" x14ac:dyDescent="0.25">
      <c r="B624" t="s">
        <v>1640</v>
      </c>
      <c r="C624" s="17" t="str">
        <f>VLOOKUP(Table4[[#This Row],[Name]],Table1[[Player]:[Status]],4,FALSE)</f>
        <v>W &lt;small&gt;(Mon)&lt;/small&gt;</v>
      </c>
      <c r="D624" s="17" t="str">
        <f>VLOOKUP(Table4[[#This Row],[Name]],Table1[[Player]:[FP/G]],3,FALSE)</f>
        <v>RW</v>
      </c>
      <c r="E624" s="17">
        <f>VLOOKUP(Table4[[#This Row],[Name]],Table1[[Player]:[Age]],5,FALSE)</f>
        <v>23</v>
      </c>
      <c r="F624" s="10">
        <f>MAX(
  _xlfn.IFNA(_xlfn.XLOOKUP(B624,'C'!B:B,'C'!E:E),  -1000000000),
  _xlfn.IFNA(_xlfn.XLOOKUP(B624, LW!B:B, LW!E:E), -1000000000),
  _xlfn.IFNA(_xlfn.XLOOKUP(B624, RW!B:B, RW!E:E), -1000000000),
  _xlfn.IFNA(_xlfn.XLOOKUP(B624, D!B:B,  D!E:E),  -1000000000)
)</f>
        <v>-3.3462793263390695</v>
      </c>
    </row>
    <row r="625" spans="2:6" x14ac:dyDescent="0.25">
      <c r="B625" t="s">
        <v>1238</v>
      </c>
      <c r="C625" s="17" t="str">
        <f>VLOOKUP(Table4[[#This Row],[Name]],Table1[[Player]:[Status]],4,FALSE)</f>
        <v>W &lt;small&gt;(Mon)&lt;/small&gt;</v>
      </c>
      <c r="D625" s="17" t="str">
        <f>VLOOKUP(Table4[[#This Row],[Name]],Table1[[Player]:[FP/G]],3,FALSE)</f>
        <v>RW</v>
      </c>
      <c r="E625" s="17">
        <f>VLOOKUP(Table4[[#This Row],[Name]],Table1[[Player]:[Age]],5,FALSE)</f>
        <v>29</v>
      </c>
      <c r="F625" s="10">
        <f>MAX(
  _xlfn.IFNA(_xlfn.XLOOKUP(B625,'C'!B:B,'C'!E:E),  -1000000000),
  _xlfn.IFNA(_xlfn.XLOOKUP(B625, LW!B:B, LW!E:E), -1000000000),
  _xlfn.IFNA(_xlfn.XLOOKUP(B625, RW!B:B, RW!E:E), -1000000000),
  _xlfn.IFNA(_xlfn.XLOOKUP(B625, D!B:B,  D!E:E),  -1000000000)
)</f>
        <v>-3.3549790451864601</v>
      </c>
    </row>
    <row r="626" spans="2:6" x14ac:dyDescent="0.25">
      <c r="B626" t="s">
        <v>1230</v>
      </c>
      <c r="C626" s="17" t="str">
        <f>VLOOKUP(Table4[[#This Row],[Name]],Table1[[Player]:[Status]],4,FALSE)</f>
        <v>W &lt;small&gt;(Mon)&lt;/small&gt;</v>
      </c>
      <c r="D626" s="17" t="str">
        <f>VLOOKUP(Table4[[#This Row],[Name]],Table1[[Player]:[FP/G]],3,FALSE)</f>
        <v>LW</v>
      </c>
      <c r="E626" s="17">
        <f>VLOOKUP(Table4[[#This Row],[Name]],Table1[[Player]:[Age]],5,FALSE)</f>
        <v>32</v>
      </c>
      <c r="F626" s="10">
        <f>MAX(
  _xlfn.IFNA(_xlfn.XLOOKUP(B626,'C'!B:B,'C'!E:E),  -1000000000),
  _xlfn.IFNA(_xlfn.XLOOKUP(B626, LW!B:B, LW!E:E), -1000000000),
  _xlfn.IFNA(_xlfn.XLOOKUP(B626, RW!B:B, RW!E:E), -1000000000),
  _xlfn.IFNA(_xlfn.XLOOKUP(B626, D!B:B,  D!E:E),  -1000000000)
)</f>
        <v>-3.3560852887552199</v>
      </c>
    </row>
    <row r="627" spans="2:6" x14ac:dyDescent="0.25">
      <c r="B627" t="s">
        <v>1124</v>
      </c>
      <c r="C627" s="17" t="str">
        <f>VLOOKUP(Table4[[#This Row],[Name]],Table1[[Player]:[Status]],4,FALSE)</f>
        <v>W &lt;small&gt;(Mon)&lt;/small&gt;</v>
      </c>
      <c r="D627" s="17" t="str">
        <f>VLOOKUP(Table4[[#This Row],[Name]],Table1[[Player]:[FP/G]],3,FALSE)</f>
        <v>LW,RW</v>
      </c>
      <c r="E627" s="17">
        <f>VLOOKUP(Table4[[#This Row],[Name]],Table1[[Player]:[Age]],5,FALSE)</f>
        <v>27</v>
      </c>
      <c r="F627" s="10">
        <f>MAX(
  _xlfn.IFNA(_xlfn.XLOOKUP(B627,'C'!B:B,'C'!E:E),  -1000000000),
  _xlfn.IFNA(_xlfn.XLOOKUP(B627, LW!B:B, LW!E:E), -1000000000),
  _xlfn.IFNA(_xlfn.XLOOKUP(B627, RW!B:B, RW!E:E), -1000000000),
  _xlfn.IFNA(_xlfn.XLOOKUP(B627, D!B:B,  D!E:E),  -1000000000)
)</f>
        <v>-3.3636570928374598</v>
      </c>
    </row>
    <row r="628" spans="2:6" x14ac:dyDescent="0.25">
      <c r="B628" t="s">
        <v>1311</v>
      </c>
      <c r="C628" s="17" t="str">
        <f>VLOOKUP(Table4[[#This Row],[Name]],Table1[[Player]:[Status]],4,FALSE)</f>
        <v>W &lt;small&gt;(Mon)&lt;/small&gt;</v>
      </c>
      <c r="D628" s="17" t="str">
        <f>VLOOKUP(Table4[[#This Row],[Name]],Table1[[Player]:[FP/G]],3,FALSE)</f>
        <v>RW</v>
      </c>
      <c r="E628" s="17">
        <f>VLOOKUP(Table4[[#This Row],[Name]],Table1[[Player]:[Age]],5,FALSE)</f>
        <v>36</v>
      </c>
      <c r="F628" s="10">
        <f>MAX(
  _xlfn.IFNA(_xlfn.XLOOKUP(B628,'C'!B:B,'C'!E:E),  -1000000000),
  _xlfn.IFNA(_xlfn.XLOOKUP(B628, LW!B:B, LW!E:E), -1000000000),
  _xlfn.IFNA(_xlfn.XLOOKUP(B628, RW!B:B, RW!E:E), -1000000000),
  _xlfn.IFNA(_xlfn.XLOOKUP(B628, D!B:B,  D!E:E),  -1000000000)
)</f>
        <v>-3.3722355012233698</v>
      </c>
    </row>
    <row r="629" spans="2:6" x14ac:dyDescent="0.25">
      <c r="B629" t="s">
        <v>1628</v>
      </c>
      <c r="C629" s="17" t="str">
        <f>VLOOKUP(Table4[[#This Row],[Name]],Table1[[Player]:[Status]],4,FALSE)</f>
        <v>W &lt;small&gt;(Mon)&lt;/small&gt;</v>
      </c>
      <c r="D629" s="17" t="str">
        <f>VLOOKUP(Table4[[#This Row],[Name]],Table1[[Player]:[FP/G]],3,FALSE)</f>
        <v>C,LW</v>
      </c>
      <c r="E629" s="17">
        <f>VLOOKUP(Table4[[#This Row],[Name]],Table1[[Player]:[Age]],5,FALSE)</f>
        <v>24</v>
      </c>
      <c r="F629" s="10">
        <f>MAX(
  _xlfn.IFNA(_xlfn.XLOOKUP(B629,'C'!B:B,'C'!E:E),  -1000000000),
  _xlfn.IFNA(_xlfn.XLOOKUP(B629, LW!B:B, LW!E:E), -1000000000),
  _xlfn.IFNA(_xlfn.XLOOKUP(B629, RW!B:B, RW!E:E), -1000000000),
  _xlfn.IFNA(_xlfn.XLOOKUP(B629, D!B:B,  D!E:E),  -1000000000)
)</f>
        <v>-3.3727263069902302</v>
      </c>
    </row>
    <row r="630" spans="2:6" x14ac:dyDescent="0.25">
      <c r="B630" t="s">
        <v>1632</v>
      </c>
      <c r="C630" s="17" t="str">
        <f>VLOOKUP(Table4[[#This Row],[Name]],Table1[[Player]:[Status]],4,FALSE)</f>
        <v>W &lt;small&gt;(Mon)&lt;/small&gt;</v>
      </c>
      <c r="D630" s="17" t="str">
        <f>VLOOKUP(Table4[[#This Row],[Name]],Table1[[Player]:[FP/G]],3,FALSE)</f>
        <v>RW</v>
      </c>
      <c r="E630" s="17">
        <f>VLOOKUP(Table4[[#This Row],[Name]],Table1[[Player]:[Age]],5,FALSE)</f>
        <v>27</v>
      </c>
      <c r="F630" s="10">
        <f>MAX(
  _xlfn.IFNA(_xlfn.XLOOKUP(B630,'C'!B:B,'C'!E:E),  -1000000000),
  _xlfn.IFNA(_xlfn.XLOOKUP(B630, LW!B:B, LW!E:E), -1000000000),
  _xlfn.IFNA(_xlfn.XLOOKUP(B630, RW!B:B, RW!E:E), -1000000000),
  _xlfn.IFNA(_xlfn.XLOOKUP(B630, D!B:B,  D!E:E),  -1000000000)
)</f>
        <v>-3.3763816302177796</v>
      </c>
    </row>
    <row r="631" spans="2:6" x14ac:dyDescent="0.25">
      <c r="B631" t="s">
        <v>1198</v>
      </c>
      <c r="C631" s="17" t="str">
        <f>VLOOKUP(Table4[[#This Row],[Name]],Table1[[Player]:[Status]],4,FALSE)</f>
        <v>W &lt;small&gt;(Mon)&lt;/small&gt;</v>
      </c>
      <c r="D631" s="17" t="str">
        <f>VLOOKUP(Table4[[#This Row],[Name]],Table1[[Player]:[FP/G]],3,FALSE)</f>
        <v>RW</v>
      </c>
      <c r="E631" s="17">
        <f>VLOOKUP(Table4[[#This Row],[Name]],Table1[[Player]:[Age]],5,FALSE)</f>
        <v>27</v>
      </c>
      <c r="F631" s="10">
        <f>MAX(
  _xlfn.IFNA(_xlfn.XLOOKUP(B631,'C'!B:B,'C'!E:E),  -1000000000),
  _xlfn.IFNA(_xlfn.XLOOKUP(B631, LW!B:B, LW!E:E), -1000000000),
  _xlfn.IFNA(_xlfn.XLOOKUP(B631, RW!B:B, RW!E:E), -1000000000),
  _xlfn.IFNA(_xlfn.XLOOKUP(B631, D!B:B,  D!E:E),  -1000000000)
)</f>
        <v>-3.3870028458002102</v>
      </c>
    </row>
    <row r="632" spans="2:6" x14ac:dyDescent="0.25">
      <c r="B632" t="s">
        <v>1645</v>
      </c>
      <c r="C632" s="17" t="str">
        <f>VLOOKUP(Table4[[#This Row],[Name]],Table1[[Player]:[Status]],4,FALSE)</f>
        <v>W &lt;small&gt;(Mon)&lt;/small&gt;</v>
      </c>
      <c r="D632" s="17" t="str">
        <f>VLOOKUP(Table4[[#This Row],[Name]],Table1[[Player]:[FP/G]],3,FALSE)</f>
        <v>LW</v>
      </c>
      <c r="E632" s="17">
        <f>VLOOKUP(Table4[[#This Row],[Name]],Table1[[Player]:[Age]],5,FALSE)</f>
        <v>30</v>
      </c>
      <c r="F632" s="10">
        <f>MAX(
  _xlfn.IFNA(_xlfn.XLOOKUP(B632,'C'!B:B,'C'!E:E),  -1000000000),
  _xlfn.IFNA(_xlfn.XLOOKUP(B632, LW!B:B, LW!E:E), -1000000000),
  _xlfn.IFNA(_xlfn.XLOOKUP(B632, RW!B:B, RW!E:E), -1000000000),
  _xlfn.IFNA(_xlfn.XLOOKUP(B632, D!B:B,  D!E:E),  -1000000000)
)</f>
        <v>-3.38981712284449</v>
      </c>
    </row>
    <row r="633" spans="2:6" x14ac:dyDescent="0.25">
      <c r="B633" t="s">
        <v>1286</v>
      </c>
      <c r="C633" s="17" t="str">
        <f>VLOOKUP(Table4[[#This Row],[Name]],Table1[[Player]:[Status]],4,FALSE)</f>
        <v>W &lt;small&gt;(Mon)&lt;/small&gt;</v>
      </c>
      <c r="D633" s="17" t="str">
        <f>VLOOKUP(Table4[[#This Row],[Name]],Table1[[Player]:[FP/G]],3,FALSE)</f>
        <v>LW</v>
      </c>
      <c r="E633" s="17">
        <f>VLOOKUP(Table4[[#This Row],[Name]],Table1[[Player]:[Age]],5,FALSE)</f>
        <v>25</v>
      </c>
      <c r="F633" s="10">
        <f>MAX(
  _xlfn.IFNA(_xlfn.XLOOKUP(B633,'C'!B:B,'C'!E:E),  -1000000000),
  _xlfn.IFNA(_xlfn.XLOOKUP(B633, LW!B:B, LW!E:E), -1000000000),
  _xlfn.IFNA(_xlfn.XLOOKUP(B633, RW!B:B, RW!E:E), -1000000000),
  _xlfn.IFNA(_xlfn.XLOOKUP(B633, D!B:B,  D!E:E),  -1000000000)
)</f>
        <v>-3.3914562963590695</v>
      </c>
    </row>
    <row r="634" spans="2:6" x14ac:dyDescent="0.25">
      <c r="B634" t="s">
        <v>1284</v>
      </c>
      <c r="C634" s="17" t="str">
        <f>VLOOKUP(Table4[[#This Row],[Name]],Table1[[Player]:[Status]],4,FALSE)</f>
        <v>W &lt;small&gt;(Mon)&lt;/small&gt;</v>
      </c>
      <c r="D634" s="17" t="str">
        <f>VLOOKUP(Table4[[#This Row],[Name]],Table1[[Player]:[FP/G]],3,FALSE)</f>
        <v>C</v>
      </c>
      <c r="E634" s="17">
        <f>VLOOKUP(Table4[[#This Row],[Name]],Table1[[Player]:[Age]],5,FALSE)</f>
        <v>26</v>
      </c>
      <c r="F634" s="10">
        <f>MAX(
  _xlfn.IFNA(_xlfn.XLOOKUP(B634,'C'!B:B,'C'!E:E),  -1000000000),
  _xlfn.IFNA(_xlfn.XLOOKUP(B634, LW!B:B, LW!E:E), -1000000000),
  _xlfn.IFNA(_xlfn.XLOOKUP(B634, RW!B:B, RW!E:E), -1000000000),
  _xlfn.IFNA(_xlfn.XLOOKUP(B634, D!B:B,  D!E:E),  -1000000000)
)</f>
        <v>-3.3983795226821902</v>
      </c>
    </row>
    <row r="635" spans="2:6" x14ac:dyDescent="0.25">
      <c r="B635" t="s">
        <v>1110</v>
      </c>
      <c r="C635" s="17" t="str">
        <f>VLOOKUP(Table4[[#This Row],[Name]],Table1[[Player]:[Status]],4,FALSE)</f>
        <v>W &lt;small&gt;(Mon)&lt;/small&gt;</v>
      </c>
      <c r="D635" s="17" t="str">
        <f>VLOOKUP(Table4[[#This Row],[Name]],Table1[[Player]:[FP/G]],3,FALSE)</f>
        <v>RW</v>
      </c>
      <c r="E635" s="17">
        <f>VLOOKUP(Table4[[#This Row],[Name]],Table1[[Player]:[Age]],5,FALSE)</f>
        <v>38</v>
      </c>
      <c r="F635" s="10">
        <f>MAX(
  _xlfn.IFNA(_xlfn.XLOOKUP(B635,'C'!B:B,'C'!E:E),  -1000000000),
  _xlfn.IFNA(_xlfn.XLOOKUP(B635, LW!B:B, LW!E:E), -1000000000),
  _xlfn.IFNA(_xlfn.XLOOKUP(B635, RW!B:B, RW!E:E), -1000000000),
  _xlfn.IFNA(_xlfn.XLOOKUP(B635, D!B:B,  D!E:E),  -1000000000)
)</f>
        <v>-3.41026370414383</v>
      </c>
    </row>
    <row r="636" spans="2:6" x14ac:dyDescent="0.25">
      <c r="B636" t="s">
        <v>1280</v>
      </c>
      <c r="C636" s="17" t="str">
        <f>VLOOKUP(Table4[[#This Row],[Name]],Table1[[Player]:[Status]],4,FALSE)</f>
        <v>W &lt;small&gt;(Mon)&lt;/small&gt;</v>
      </c>
      <c r="D636" s="17" t="str">
        <f>VLOOKUP(Table4[[#This Row],[Name]],Table1[[Player]:[FP/G]],3,FALSE)</f>
        <v>C</v>
      </c>
      <c r="E636" s="17">
        <f>VLOOKUP(Table4[[#This Row],[Name]],Table1[[Player]:[Age]],5,FALSE)</f>
        <v>31</v>
      </c>
      <c r="F636" s="10">
        <f>MAX(
  _xlfn.IFNA(_xlfn.XLOOKUP(B636,'C'!B:B,'C'!E:E),  -1000000000),
  _xlfn.IFNA(_xlfn.XLOOKUP(B636, LW!B:B, LW!E:E), -1000000000),
  _xlfn.IFNA(_xlfn.XLOOKUP(B636, RW!B:B, RW!E:E), -1000000000),
  _xlfn.IFNA(_xlfn.XLOOKUP(B636, D!B:B,  D!E:E),  -1000000000)
)</f>
        <v>-3.4711430872573903</v>
      </c>
    </row>
    <row r="637" spans="2:6" x14ac:dyDescent="0.25">
      <c r="B637" t="s">
        <v>1244</v>
      </c>
      <c r="C637" s="17" t="str">
        <f>VLOOKUP(Table4[[#This Row],[Name]],Table1[[Player]:[Status]],4,FALSE)</f>
        <v>W &lt;small&gt;(Mon)&lt;/small&gt;</v>
      </c>
      <c r="D637" s="17" t="str">
        <f>VLOOKUP(Table4[[#This Row],[Name]],Table1[[Player]:[FP/G]],3,FALSE)</f>
        <v>LW</v>
      </c>
      <c r="E637" s="17">
        <f>VLOOKUP(Table4[[#This Row],[Name]],Table1[[Player]:[Age]],5,FALSE)</f>
        <v>29</v>
      </c>
      <c r="F637" s="10">
        <f>MAX(
  _xlfn.IFNA(_xlfn.XLOOKUP(B637,'C'!B:B,'C'!E:E),  -1000000000),
  _xlfn.IFNA(_xlfn.XLOOKUP(B637, LW!B:B, LW!E:E), -1000000000),
  _xlfn.IFNA(_xlfn.XLOOKUP(B637, RW!B:B, RW!E:E), -1000000000),
  _xlfn.IFNA(_xlfn.XLOOKUP(B637, D!B:B,  D!E:E),  -1000000000)
)</f>
        <v>-3.4952408835211202</v>
      </c>
    </row>
    <row r="638" spans="2:6" x14ac:dyDescent="0.25">
      <c r="B638" t="s">
        <v>1158</v>
      </c>
      <c r="C638" s="17" t="str">
        <f>VLOOKUP(Table4[[#This Row],[Name]],Table1[[Player]:[Status]],4,FALSE)</f>
        <v>W &lt;small&gt;(Mon)&lt;/small&gt;</v>
      </c>
      <c r="D638" s="17" t="str">
        <f>VLOOKUP(Table4[[#This Row],[Name]],Table1[[Player]:[FP/G]],3,FALSE)</f>
        <v>C</v>
      </c>
      <c r="E638" s="17">
        <f>VLOOKUP(Table4[[#This Row],[Name]],Table1[[Player]:[Age]],5,FALSE)</f>
        <v>30</v>
      </c>
      <c r="F638" s="10">
        <f>MAX(
  _xlfn.IFNA(_xlfn.XLOOKUP(B638,'C'!B:B,'C'!E:E),  -1000000000),
  _xlfn.IFNA(_xlfn.XLOOKUP(B638, LW!B:B, LW!E:E), -1000000000),
  _xlfn.IFNA(_xlfn.XLOOKUP(B638, RW!B:B, RW!E:E), -1000000000),
  _xlfn.IFNA(_xlfn.XLOOKUP(B638, D!B:B,  D!E:E),  -1000000000)
)</f>
        <v>-3.5065595654913513</v>
      </c>
    </row>
    <row r="639" spans="2:6" x14ac:dyDescent="0.25">
      <c r="B639" t="s">
        <v>1641</v>
      </c>
      <c r="C639" s="17" t="str">
        <f>VLOOKUP(Table4[[#This Row],[Name]],Table1[[Player]:[Status]],4,FALSE)</f>
        <v>W &lt;small&gt;(Mon)&lt;/small&gt;</v>
      </c>
      <c r="D639" s="17" t="str">
        <f>VLOOKUP(Table4[[#This Row],[Name]],Table1[[Player]:[FP/G]],3,FALSE)</f>
        <v>RW</v>
      </c>
      <c r="E639" s="17">
        <f>VLOOKUP(Table4[[#This Row],[Name]],Table1[[Player]:[Age]],5,FALSE)</f>
        <v>28</v>
      </c>
      <c r="F639" s="10">
        <f>MAX(
  _xlfn.IFNA(_xlfn.XLOOKUP(B639,'C'!B:B,'C'!E:E),  -1000000000),
  _xlfn.IFNA(_xlfn.XLOOKUP(B639, LW!B:B, LW!E:E), -1000000000),
  _xlfn.IFNA(_xlfn.XLOOKUP(B639, RW!B:B, RW!E:E), -1000000000),
  _xlfn.IFNA(_xlfn.XLOOKUP(B639, D!B:B,  D!E:E),  -1000000000)
)</f>
        <v>-3.5211730799832699</v>
      </c>
    </row>
    <row r="640" spans="2:6" x14ac:dyDescent="0.25">
      <c r="B640" t="s">
        <v>1236</v>
      </c>
      <c r="C640" s="17" t="str">
        <f>VLOOKUP(Table4[[#This Row],[Name]],Table1[[Player]:[Status]],4,FALSE)</f>
        <v>W &lt;small&gt;(Mon)&lt;/small&gt;</v>
      </c>
      <c r="D640" s="17" t="str">
        <f>VLOOKUP(Table4[[#This Row],[Name]],Table1[[Player]:[FP/G]],3,FALSE)</f>
        <v>C</v>
      </c>
      <c r="E640" s="17">
        <f>VLOOKUP(Table4[[#This Row],[Name]],Table1[[Player]:[Age]],5,FALSE)</f>
        <v>31</v>
      </c>
      <c r="F640" s="10">
        <f>MAX(
  _xlfn.IFNA(_xlfn.XLOOKUP(B640,'C'!B:B,'C'!E:E),  -1000000000),
  _xlfn.IFNA(_xlfn.XLOOKUP(B640, LW!B:B, LW!E:E), -1000000000),
  _xlfn.IFNA(_xlfn.XLOOKUP(B640, RW!B:B, RW!E:E), -1000000000),
  _xlfn.IFNA(_xlfn.XLOOKUP(B640, D!B:B,  D!E:E),  -1000000000)
)</f>
        <v>-3.5421639875342703</v>
      </c>
    </row>
    <row r="641" spans="2:6" x14ac:dyDescent="0.25">
      <c r="B641" t="s">
        <v>1262</v>
      </c>
      <c r="C641" s="17" t="str">
        <f>VLOOKUP(Table4[[#This Row],[Name]],Table1[[Player]:[Status]],4,FALSE)</f>
        <v>W &lt;small&gt;(Mon)&lt;/small&gt;</v>
      </c>
      <c r="D641" s="17" t="str">
        <f>VLOOKUP(Table4[[#This Row],[Name]],Table1[[Player]:[FP/G]],3,FALSE)</f>
        <v>C,LW</v>
      </c>
      <c r="E641" s="17">
        <f>VLOOKUP(Table4[[#This Row],[Name]],Table1[[Player]:[Age]],5,FALSE)</f>
        <v>31</v>
      </c>
      <c r="F641" s="10">
        <f>MAX(
  _xlfn.IFNA(_xlfn.XLOOKUP(B641,'C'!B:B,'C'!E:E),  -1000000000),
  _xlfn.IFNA(_xlfn.XLOOKUP(B641, LW!B:B, LW!E:E), -1000000000),
  _xlfn.IFNA(_xlfn.XLOOKUP(B641, RW!B:B, RW!E:E), -1000000000),
  _xlfn.IFNA(_xlfn.XLOOKUP(B641, D!B:B,  D!E:E),  -1000000000)
)</f>
        <v>-3.553219374871424</v>
      </c>
    </row>
    <row r="642" spans="2:6" x14ac:dyDescent="0.25">
      <c r="B642" t="s">
        <v>1642</v>
      </c>
      <c r="C642" s="17" t="str">
        <f>VLOOKUP(Table4[[#This Row],[Name]],Table1[[Player]:[Status]],4,FALSE)</f>
        <v>W &lt;small&gt;(Mon)&lt;/small&gt;</v>
      </c>
      <c r="D642" s="17" t="str">
        <f>VLOOKUP(Table4[[#This Row],[Name]],Table1[[Player]:[FP/G]],3,FALSE)</f>
        <v>C,LW</v>
      </c>
      <c r="E642" s="17">
        <f>VLOOKUP(Table4[[#This Row],[Name]],Table1[[Player]:[Age]],5,FALSE)</f>
        <v>27</v>
      </c>
      <c r="F642" s="10">
        <f>MAX(
  _xlfn.IFNA(_xlfn.XLOOKUP(B642,'C'!B:B,'C'!E:E),  -1000000000),
  _xlfn.IFNA(_xlfn.XLOOKUP(B642, LW!B:B, LW!E:E), -1000000000),
  _xlfn.IFNA(_xlfn.XLOOKUP(B642, RW!B:B, RW!E:E), -1000000000),
  _xlfn.IFNA(_xlfn.XLOOKUP(B642, D!B:B,  D!E:E),  -1000000000)
)</f>
        <v>-3.5567177969576194</v>
      </c>
    </row>
    <row r="643" spans="2:6" x14ac:dyDescent="0.25">
      <c r="B643" t="s">
        <v>1629</v>
      </c>
      <c r="C643" s="17" t="str">
        <f>VLOOKUP(Table4[[#This Row],[Name]],Table1[[Player]:[Status]],4,FALSE)</f>
        <v>W &lt;small&gt;(Mon)&lt;/small&gt;</v>
      </c>
      <c r="D643" s="17" t="str">
        <f>VLOOKUP(Table4[[#This Row],[Name]],Table1[[Player]:[FP/G]],3,FALSE)</f>
        <v>LW</v>
      </c>
      <c r="E643" s="17">
        <f>VLOOKUP(Table4[[#This Row],[Name]],Table1[[Player]:[Age]],5,FALSE)</f>
        <v>31</v>
      </c>
      <c r="F643" s="10">
        <f>MAX(
  _xlfn.IFNA(_xlfn.XLOOKUP(B643,'C'!B:B,'C'!E:E),  -1000000000),
  _xlfn.IFNA(_xlfn.XLOOKUP(B643, LW!B:B, LW!E:E), -1000000000),
  _xlfn.IFNA(_xlfn.XLOOKUP(B643, RW!B:B, RW!E:E), -1000000000),
  _xlfn.IFNA(_xlfn.XLOOKUP(B643, D!B:B,  D!E:E),  -1000000000)
)</f>
        <v>-3.5580852448285198</v>
      </c>
    </row>
    <row r="644" spans="2:6" x14ac:dyDescent="0.25">
      <c r="B644" t="s">
        <v>1274</v>
      </c>
      <c r="C644" s="17" t="str">
        <f>VLOOKUP(Table4[[#This Row],[Name]],Table1[[Player]:[Status]],4,FALSE)</f>
        <v>W &lt;small&gt;(Mon)&lt;/small&gt;</v>
      </c>
      <c r="D644" s="17" t="str">
        <f>VLOOKUP(Table4[[#This Row],[Name]],Table1[[Player]:[FP/G]],3,FALSE)</f>
        <v>LW</v>
      </c>
      <c r="E644" s="17">
        <f>VLOOKUP(Table4[[#This Row],[Name]],Table1[[Player]:[Age]],5,FALSE)</f>
        <v>26</v>
      </c>
      <c r="F644" s="10">
        <f>MAX(
  _xlfn.IFNA(_xlfn.XLOOKUP(B644,'C'!B:B,'C'!E:E),  -1000000000),
  _xlfn.IFNA(_xlfn.XLOOKUP(B644, LW!B:B, LW!E:E), -1000000000),
  _xlfn.IFNA(_xlfn.XLOOKUP(B644, RW!B:B, RW!E:E), -1000000000),
  _xlfn.IFNA(_xlfn.XLOOKUP(B644, D!B:B,  D!E:E),  -1000000000)
)</f>
        <v>-3.5748975389029596</v>
      </c>
    </row>
    <row r="645" spans="2:6" x14ac:dyDescent="0.25">
      <c r="B645" t="s">
        <v>1639</v>
      </c>
      <c r="C645" s="17" t="str">
        <f>VLOOKUP(Table4[[#This Row],[Name]],Table1[[Player]:[Status]],4,FALSE)</f>
        <v>W &lt;small&gt;(Mon)&lt;/small&gt;</v>
      </c>
      <c r="D645" s="17" t="str">
        <f>VLOOKUP(Table4[[#This Row],[Name]],Table1[[Player]:[FP/G]],3,FALSE)</f>
        <v>C,LW</v>
      </c>
      <c r="E645" s="17">
        <f>VLOOKUP(Table4[[#This Row],[Name]],Table1[[Player]:[Age]],5,FALSE)</f>
        <v>27</v>
      </c>
      <c r="F645" s="10">
        <f>MAX(
  _xlfn.IFNA(_xlfn.XLOOKUP(B645,'C'!B:B,'C'!E:E),  -1000000000),
  _xlfn.IFNA(_xlfn.XLOOKUP(B645, LW!B:B, LW!E:E), -1000000000),
  _xlfn.IFNA(_xlfn.XLOOKUP(B645, RW!B:B, RW!E:E), -1000000000),
  _xlfn.IFNA(_xlfn.XLOOKUP(B645, D!B:B,  D!E:E),  -1000000000)
)</f>
        <v>-3.5880459821132256</v>
      </c>
    </row>
    <row r="646" spans="2:6" x14ac:dyDescent="0.25">
      <c r="B646" t="s">
        <v>1278</v>
      </c>
      <c r="C646" s="17" t="str">
        <f>VLOOKUP(Table4[[#This Row],[Name]],Table1[[Player]:[Status]],4,FALSE)</f>
        <v>W &lt;small&gt;(Mon)&lt;/small&gt;</v>
      </c>
      <c r="D646" s="17" t="str">
        <f>VLOOKUP(Table4[[#This Row],[Name]],Table1[[Player]:[FP/G]],3,FALSE)</f>
        <v>RW</v>
      </c>
      <c r="E646" s="17">
        <f>VLOOKUP(Table4[[#This Row],[Name]],Table1[[Player]:[Age]],5,FALSE)</f>
        <v>34</v>
      </c>
      <c r="F646" s="10">
        <f>MAX(
  _xlfn.IFNA(_xlfn.XLOOKUP(B646,'C'!B:B,'C'!E:E),  -1000000000),
  _xlfn.IFNA(_xlfn.XLOOKUP(B646, LW!B:B, LW!E:E), -1000000000),
  _xlfn.IFNA(_xlfn.XLOOKUP(B646, RW!B:B, RW!E:E), -1000000000),
  _xlfn.IFNA(_xlfn.XLOOKUP(B646, D!B:B,  D!E:E),  -1000000000)
)</f>
        <v>-3.9194255868160761</v>
      </c>
    </row>
    <row r="647" spans="2:6" x14ac:dyDescent="0.25">
      <c r="B647" t="s">
        <v>1218</v>
      </c>
      <c r="C647" s="17" t="str">
        <f>VLOOKUP(Table4[[#This Row],[Name]],Table1[[Player]:[Status]],4,FALSE)</f>
        <v>W &lt;small&gt;(Mon)&lt;/small&gt;</v>
      </c>
      <c r="D647" s="17" t="str">
        <f>VLOOKUP(Table4[[#This Row],[Name]],Table1[[Player]:[FP/G]],3,FALSE)</f>
        <v>RW</v>
      </c>
      <c r="E647" s="17">
        <f>VLOOKUP(Table4[[#This Row],[Name]],Table1[[Player]:[Age]],5,FALSE)</f>
        <v>27</v>
      </c>
      <c r="F647" s="10">
        <f>MAX(
  _xlfn.IFNA(_xlfn.XLOOKUP(B647,'C'!B:B,'C'!E:E),  -1000000000),
  _xlfn.IFNA(_xlfn.XLOOKUP(B647, LW!B:B, LW!E:E), -1000000000),
  _xlfn.IFNA(_xlfn.XLOOKUP(B647, RW!B:B, RW!E:E), -1000000000),
  _xlfn.IFNA(_xlfn.XLOOKUP(B647, D!B:B,  D!E:E),  -1000000000)
)</f>
        <v>-4.0992048969215746</v>
      </c>
    </row>
    <row r="648" spans="2:6" x14ac:dyDescent="0.25">
      <c r="B648" t="s">
        <v>1339</v>
      </c>
      <c r="C648" s="17" t="str">
        <f>VLOOKUP(Table4[[#This Row],[Name]],Table1[[Player]:[Status]],4,FALSE)</f>
        <v>W &lt;small&gt;(Mon)&lt;/small&gt;</v>
      </c>
      <c r="D648" s="17" t="str">
        <f>VLOOKUP(Table4[[#This Row],[Name]],Table1[[Player]:[FP/G]],3,FALSE)</f>
        <v>RW</v>
      </c>
      <c r="E648" s="17">
        <f>VLOOKUP(Table4[[#This Row],[Name]],Table1[[Player]:[Age]],5,FALSE)</f>
        <v>26</v>
      </c>
      <c r="F648" s="10">
        <f>MAX(
  _xlfn.IFNA(_xlfn.XLOOKUP(B648,'C'!B:B,'C'!E:E),  -1000000000),
  _xlfn.IFNA(_xlfn.XLOOKUP(B648, LW!B:B, LW!E:E), -1000000000),
  _xlfn.IFNA(_xlfn.XLOOKUP(B648, RW!B:B, RW!E:E), -1000000000),
  _xlfn.IFNA(_xlfn.XLOOKUP(B648, D!B:B,  D!E:E),  -1000000000)
)</f>
        <v>-4.1301650074184737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A01D-7D99-4019-899A-AA5F0D08F660}">
  <dimension ref="A1:H648"/>
  <sheetViews>
    <sheetView workbookViewId="0">
      <selection activeCell="C16" sqref="C16"/>
    </sheetView>
  </sheetViews>
  <sheetFormatPr defaultRowHeight="15" x14ac:dyDescent="0.25"/>
  <cols>
    <col min="2" max="2" width="25.28515625" bestFit="1" customWidth="1"/>
    <col min="3" max="3" width="9.7109375" customWidth="1"/>
    <col min="4" max="4" width="10.140625" customWidth="1"/>
    <col min="5" max="8" width="9.7109375" customWidth="1"/>
  </cols>
  <sheetData>
    <row r="1" spans="1:8" x14ac:dyDescent="0.25">
      <c r="A1" s="4" t="s">
        <v>0</v>
      </c>
      <c r="B1" s="5" t="s">
        <v>1</v>
      </c>
      <c r="C1" s="6" t="s">
        <v>1360</v>
      </c>
      <c r="D1" s="6" t="s">
        <v>1361</v>
      </c>
      <c r="E1" s="6" t="s">
        <v>1362</v>
      </c>
      <c r="F1" s="6" t="s">
        <v>6</v>
      </c>
      <c r="G1" s="7" t="s">
        <v>1363</v>
      </c>
      <c r="H1" s="6" t="s">
        <v>1364</v>
      </c>
    </row>
    <row r="2" spans="1:8" x14ac:dyDescent="0.25">
      <c r="A2" t="s">
        <v>507</v>
      </c>
      <c r="B2" t="s">
        <v>508</v>
      </c>
      <c r="C2" t="e">
        <f>VLOOKUP(A2,'Overall Results'!$B$2:$I$543,9,FALSE)</f>
        <v>#N/A</v>
      </c>
      <c r="D2" t="e">
        <f>VLOOKUP(A2,'Overall Results'!$B$2:$I$543,10,FALSE)</f>
        <v>#N/A</v>
      </c>
      <c r="E2" s="3">
        <v>14.65</v>
      </c>
      <c r="F2" s="3">
        <v>2.44</v>
      </c>
      <c r="G2" s="8" t="e">
        <f>ABS(Table2[[#This Row],[E - FPts]]-Table2[[#This Row],[FPts]])</f>
        <v>#N/A</v>
      </c>
      <c r="H2" s="8" t="e">
        <f>ABS(Table2[[#This Row],[E - FP/G]]-Table2[[#This Row],[FP/G]])</f>
        <v>#N/A</v>
      </c>
    </row>
    <row r="3" spans="1:8" x14ac:dyDescent="0.25">
      <c r="A3" t="s">
        <v>1365</v>
      </c>
      <c r="B3" t="s">
        <v>1366</v>
      </c>
      <c r="C3" t="e">
        <f>VLOOKUP(A3,'Overall Results'!$B$2:$I$543,9,FALSE)</f>
        <v>#N/A</v>
      </c>
      <c r="D3" t="e">
        <f>VLOOKUP(A3,'Overall Results'!$B$2:$I$543,10,FALSE)</f>
        <v>#N/A</v>
      </c>
      <c r="E3" s="3">
        <v>0</v>
      </c>
      <c r="F3" s="3">
        <v>0</v>
      </c>
      <c r="G3" s="8" t="e">
        <f>ABS(Table2[[#This Row],[E - FPts]]-Table2[[#This Row],[FPts]])</f>
        <v>#N/A</v>
      </c>
      <c r="H3" s="8" t="e">
        <f>ABS(Table2[[#This Row],[E - FP/G]]-Table2[[#This Row],[FP/G]])</f>
        <v>#N/A</v>
      </c>
    </row>
    <row r="4" spans="1:8" x14ac:dyDescent="0.25">
      <c r="A4" t="s">
        <v>1367</v>
      </c>
      <c r="B4" t="s">
        <v>1368</v>
      </c>
      <c r="C4" t="e">
        <f>VLOOKUP(A4,'Overall Results'!$B$2:$I$543,9,FALSE)</f>
        <v>#N/A</v>
      </c>
      <c r="D4" t="e">
        <f>VLOOKUP(A4,'Overall Results'!$B$2:$I$543,10,FALSE)</f>
        <v>#N/A</v>
      </c>
      <c r="E4" s="3">
        <v>0</v>
      </c>
      <c r="F4" s="3">
        <v>0</v>
      </c>
      <c r="G4" s="8" t="e">
        <f>ABS(Table2[[#This Row],[E - FPts]]-Table2[[#This Row],[FPts]])</f>
        <v>#N/A</v>
      </c>
      <c r="H4" s="8" t="e">
        <f>ABS(Table2[[#This Row],[E - FP/G]]-Table2[[#This Row],[FP/G]])</f>
        <v>#N/A</v>
      </c>
    </row>
    <row r="5" spans="1:8" x14ac:dyDescent="0.25">
      <c r="A5" t="s">
        <v>693</v>
      </c>
      <c r="B5" t="s">
        <v>694</v>
      </c>
      <c r="C5" t="e">
        <f>VLOOKUP(A5,'Overall Results'!$B$2:$I$543,9,FALSE)</f>
        <v>#REF!</v>
      </c>
      <c r="D5" t="e">
        <f>VLOOKUP(A5,'Overall Results'!$B$2:$I$543,10,FALSE)</f>
        <v>#REF!</v>
      </c>
      <c r="E5" s="3">
        <v>90.8</v>
      </c>
      <c r="F5" s="3">
        <v>2.93</v>
      </c>
      <c r="G5" s="8" t="e">
        <f>ABS(Table2[[#This Row],[E - FPts]]-Table2[[#This Row],[FPts]])</f>
        <v>#REF!</v>
      </c>
      <c r="H5" s="8" t="e">
        <f>ABS(Table2[[#This Row],[E - FP/G]]-Table2[[#This Row],[FP/G]])</f>
        <v>#REF!</v>
      </c>
    </row>
    <row r="6" spans="1:8" x14ac:dyDescent="0.25">
      <c r="A6" t="s">
        <v>1369</v>
      </c>
      <c r="B6" t="s">
        <v>1370</v>
      </c>
      <c r="C6" t="e">
        <f>VLOOKUP(A6,'Overall Results'!$B$2:$I$543,9,FALSE)</f>
        <v>#N/A</v>
      </c>
      <c r="D6" t="e">
        <f>VLOOKUP(A6,'Overall Results'!$B$2:$I$543,10,FALSE)</f>
        <v>#N/A</v>
      </c>
      <c r="E6" s="3">
        <v>0</v>
      </c>
      <c r="F6" s="3">
        <v>0</v>
      </c>
      <c r="G6" s="8" t="e">
        <f>ABS(Table2[[#This Row],[E - FPts]]-Table2[[#This Row],[FPts]])</f>
        <v>#N/A</v>
      </c>
      <c r="H6" s="8" t="e">
        <f>ABS(Table2[[#This Row],[E - FP/G]]-Table2[[#This Row],[FP/G]])</f>
        <v>#N/A</v>
      </c>
    </row>
    <row r="7" spans="1:8" x14ac:dyDescent="0.25">
      <c r="A7" t="s">
        <v>140</v>
      </c>
      <c r="B7" t="s">
        <v>141</v>
      </c>
      <c r="C7" t="e">
        <f>VLOOKUP(A7,'Overall Results'!$B$2:$I$543,9,FALSE)</f>
        <v>#REF!</v>
      </c>
      <c r="D7" t="e">
        <f>VLOOKUP(A7,'Overall Results'!$B$2:$I$543,10,FALSE)</f>
        <v>#REF!</v>
      </c>
      <c r="E7" s="3">
        <v>463.6</v>
      </c>
      <c r="F7" s="3">
        <v>5.79</v>
      </c>
      <c r="G7" s="8" t="e">
        <f>ABS(Table2[[#This Row],[E - FPts]]-Table2[[#This Row],[FPts]])</f>
        <v>#REF!</v>
      </c>
      <c r="H7" s="8" t="e">
        <f>ABS(Table2[[#This Row],[E - FP/G]]-Table2[[#This Row],[FP/G]])</f>
        <v>#REF!</v>
      </c>
    </row>
    <row r="8" spans="1:8" x14ac:dyDescent="0.25">
      <c r="A8" t="s">
        <v>1353</v>
      </c>
      <c r="B8" t="s">
        <v>1371</v>
      </c>
      <c r="C8" t="e">
        <f>VLOOKUP(A8,'Overall Results'!$B$2:$I$543,9,FALSE)</f>
        <v>#N/A</v>
      </c>
      <c r="D8" t="e">
        <f>VLOOKUP(A8,'Overall Results'!$B$2:$I$543,10,FALSE)</f>
        <v>#N/A</v>
      </c>
      <c r="E8" s="3">
        <v>39.549999999999997</v>
      </c>
      <c r="F8" s="3">
        <v>2.82</v>
      </c>
      <c r="G8" s="8" t="e">
        <f>ABS(Table2[[#This Row],[E - FPts]]-Table2[[#This Row],[FPts]])</f>
        <v>#N/A</v>
      </c>
      <c r="H8" s="8" t="e">
        <f>ABS(Table2[[#This Row],[E - FP/G]]-Table2[[#This Row],[FP/G]])</f>
        <v>#N/A</v>
      </c>
    </row>
    <row r="9" spans="1:8" x14ac:dyDescent="0.25">
      <c r="A9" t="s">
        <v>399</v>
      </c>
      <c r="B9" t="s">
        <v>400</v>
      </c>
      <c r="C9" t="e">
        <f>VLOOKUP(A9,'Overall Results'!$B$2:$I$543,9,FALSE)</f>
        <v>#REF!</v>
      </c>
      <c r="D9" t="e">
        <f>VLOOKUP(A9,'Overall Results'!$B$2:$I$543,10,FALSE)</f>
        <v>#REF!</v>
      </c>
      <c r="E9" s="3">
        <v>334.2</v>
      </c>
      <c r="F9" s="3">
        <v>4.08</v>
      </c>
      <c r="G9" s="8" t="e">
        <f>ABS(Table2[[#This Row],[E - FPts]]-Table2[[#This Row],[FPts]])</f>
        <v>#REF!</v>
      </c>
      <c r="H9" s="8" t="e">
        <f>ABS(Table2[[#This Row],[E - FP/G]]-Table2[[#This Row],[FP/G]])</f>
        <v>#REF!</v>
      </c>
    </row>
    <row r="10" spans="1:8" x14ac:dyDescent="0.25">
      <c r="A10" t="s">
        <v>1372</v>
      </c>
      <c r="B10" t="s">
        <v>1373</v>
      </c>
      <c r="C10" t="e">
        <f>VLOOKUP(A10,'Overall Results'!$B$2:$I$543,9,FALSE)</f>
        <v>#N/A</v>
      </c>
      <c r="D10" t="e">
        <f>VLOOKUP(A10,'Overall Results'!$B$2:$I$543,10,FALSE)</f>
        <v>#N/A</v>
      </c>
      <c r="E10" s="3">
        <v>0</v>
      </c>
      <c r="F10" s="3">
        <v>0</v>
      </c>
      <c r="G10" s="8" t="e">
        <f>ABS(Table2[[#This Row],[E - FPts]]-Table2[[#This Row],[FPts]])</f>
        <v>#N/A</v>
      </c>
      <c r="H10" s="8" t="e">
        <f>ABS(Table2[[#This Row],[E - FP/G]]-Table2[[#This Row],[FP/G]])</f>
        <v>#N/A</v>
      </c>
    </row>
    <row r="11" spans="1:8" x14ac:dyDescent="0.25">
      <c r="A11" t="s">
        <v>1374</v>
      </c>
      <c r="B11" t="s">
        <v>1375</v>
      </c>
      <c r="C11" t="e">
        <f>VLOOKUP(A11,'Overall Results'!$B$2:$I$543,9,FALSE)</f>
        <v>#N/A</v>
      </c>
      <c r="D11" t="e">
        <f>VLOOKUP(A11,'Overall Results'!$B$2:$I$543,10,FALSE)</f>
        <v>#N/A</v>
      </c>
      <c r="E11" s="3">
        <v>0</v>
      </c>
      <c r="F11" s="3">
        <v>0</v>
      </c>
      <c r="G11" s="8" t="e">
        <f>ABS(Table2[[#This Row],[E - FPts]]-Table2[[#This Row],[FPts]])</f>
        <v>#N/A</v>
      </c>
      <c r="H11" s="8" t="e">
        <f>ABS(Table2[[#This Row],[E - FP/G]]-Table2[[#This Row],[FP/G]])</f>
        <v>#N/A</v>
      </c>
    </row>
    <row r="12" spans="1:8" x14ac:dyDescent="0.25">
      <c r="A12" t="s">
        <v>196</v>
      </c>
      <c r="B12" t="s">
        <v>197</v>
      </c>
      <c r="C12" t="e">
        <f>VLOOKUP(A12,'Overall Results'!$B$2:$I$543,9,FALSE)</f>
        <v>#REF!</v>
      </c>
      <c r="D12" t="e">
        <f>VLOOKUP(A12,'Overall Results'!$B$2:$I$543,10,FALSE)</f>
        <v>#REF!</v>
      </c>
      <c r="E12" s="3">
        <v>519.4</v>
      </c>
      <c r="F12" s="3">
        <v>6.33</v>
      </c>
      <c r="G12" s="8" t="e">
        <f>ABS(Table2[[#This Row],[E - FPts]]-Table2[[#This Row],[FPts]])</f>
        <v>#REF!</v>
      </c>
      <c r="H12" s="8" t="e">
        <f>ABS(Table2[[#This Row],[E - FP/G]]-Table2[[#This Row],[FP/G]])</f>
        <v>#REF!</v>
      </c>
    </row>
    <row r="13" spans="1:8" x14ac:dyDescent="0.25">
      <c r="A13" t="s">
        <v>727</v>
      </c>
      <c r="B13" t="s">
        <v>728</v>
      </c>
      <c r="C13" t="e">
        <f>VLOOKUP(A13,'Overall Results'!$B$2:$I$543,9,FALSE)</f>
        <v>#N/A</v>
      </c>
      <c r="D13" t="e">
        <f>VLOOKUP(A13,'Overall Results'!$B$2:$I$543,10,FALSE)</f>
        <v>#N/A</v>
      </c>
      <c r="E13" s="3">
        <v>134</v>
      </c>
      <c r="F13" s="3">
        <v>3.27</v>
      </c>
      <c r="G13" s="8" t="e">
        <f>ABS(Table2[[#This Row],[E - FPts]]-Table2[[#This Row],[FPts]])</f>
        <v>#N/A</v>
      </c>
      <c r="H13" s="8" t="e">
        <f>ABS(Table2[[#This Row],[E - FP/G]]-Table2[[#This Row],[FP/G]])</f>
        <v>#N/A</v>
      </c>
    </row>
    <row r="14" spans="1:8" x14ac:dyDescent="0.25">
      <c r="A14" t="s">
        <v>1376</v>
      </c>
      <c r="B14" t="s">
        <v>1377</v>
      </c>
      <c r="C14" t="e">
        <f>VLOOKUP(A14,'Overall Results'!$B$2:$I$543,9,FALSE)</f>
        <v>#N/A</v>
      </c>
      <c r="D14" t="e">
        <f>VLOOKUP(A14,'Overall Results'!$B$2:$I$543,10,FALSE)</f>
        <v>#N/A</v>
      </c>
      <c r="E14" s="3">
        <v>0</v>
      </c>
      <c r="F14" s="3">
        <v>0</v>
      </c>
      <c r="G14" s="8" t="e">
        <f>ABS(Table2[[#This Row],[E - FPts]]-Table2[[#This Row],[FPts]])</f>
        <v>#N/A</v>
      </c>
      <c r="H14" s="8" t="e">
        <f>ABS(Table2[[#This Row],[E - FP/G]]-Table2[[#This Row],[FP/G]])</f>
        <v>#N/A</v>
      </c>
    </row>
    <row r="15" spans="1:8" x14ac:dyDescent="0.25">
      <c r="A15" t="s">
        <v>341</v>
      </c>
      <c r="B15" t="s">
        <v>342</v>
      </c>
      <c r="C15" t="e">
        <f>VLOOKUP(A15,'Overall Results'!$B$2:$I$543,9,FALSE)</f>
        <v>#REF!</v>
      </c>
      <c r="D15" t="e">
        <f>VLOOKUP(A15,'Overall Results'!$B$2:$I$543,10,FALSE)</f>
        <v>#REF!</v>
      </c>
      <c r="E15" s="3">
        <v>134.35</v>
      </c>
      <c r="F15" s="3">
        <v>4.33</v>
      </c>
      <c r="G15" s="8" t="e">
        <f>ABS(Table2[[#This Row],[E - FPts]]-Table2[[#This Row],[FPts]])</f>
        <v>#REF!</v>
      </c>
      <c r="H15" s="8" t="e">
        <f>ABS(Table2[[#This Row],[E - FP/G]]-Table2[[#This Row],[FP/G]])</f>
        <v>#REF!</v>
      </c>
    </row>
    <row r="16" spans="1:8" x14ac:dyDescent="0.25">
      <c r="A16" t="s">
        <v>453</v>
      </c>
      <c r="B16" t="s">
        <v>454</v>
      </c>
      <c r="C16" t="e">
        <f>VLOOKUP(A16,'Overall Results'!$B$2:$I$543,9,FALSE)</f>
        <v>#REF!</v>
      </c>
      <c r="D16" t="e">
        <f>VLOOKUP(A16,'Overall Results'!$B$2:$I$543,10,FALSE)</f>
        <v>#REF!</v>
      </c>
      <c r="E16" s="3">
        <v>37</v>
      </c>
      <c r="F16" s="3">
        <v>3.7</v>
      </c>
      <c r="G16" s="8" t="e">
        <f>ABS(Table2[[#This Row],[E - FPts]]-Table2[[#This Row],[FPts]])</f>
        <v>#REF!</v>
      </c>
      <c r="H16" s="8" t="e">
        <f>ABS(Table2[[#This Row],[E - FP/G]]-Table2[[#This Row],[FP/G]])</f>
        <v>#REF!</v>
      </c>
    </row>
    <row r="17" spans="1:8" x14ac:dyDescent="0.25">
      <c r="A17" t="s">
        <v>1378</v>
      </c>
      <c r="B17" t="s">
        <v>1379</v>
      </c>
      <c r="C17" t="e">
        <f>VLOOKUP(A17,'Overall Results'!$B$2:$I$543,9,FALSE)</f>
        <v>#N/A</v>
      </c>
      <c r="D17" t="e">
        <f>VLOOKUP(A17,'Overall Results'!$B$2:$I$543,10,FALSE)</f>
        <v>#N/A</v>
      </c>
      <c r="E17" s="3">
        <v>0</v>
      </c>
      <c r="F17" s="3">
        <v>0</v>
      </c>
      <c r="G17" s="8" t="e">
        <f>ABS(Table2[[#This Row],[E - FPts]]-Table2[[#This Row],[FPts]])</f>
        <v>#N/A</v>
      </c>
      <c r="H17" s="8" t="e">
        <f>ABS(Table2[[#This Row],[E - FP/G]]-Table2[[#This Row],[FP/G]])</f>
        <v>#N/A</v>
      </c>
    </row>
    <row r="18" spans="1:8" x14ac:dyDescent="0.25">
      <c r="A18" t="s">
        <v>1380</v>
      </c>
      <c r="B18" t="s">
        <v>1381</v>
      </c>
      <c r="C18" t="e">
        <f>VLOOKUP(A18,'Overall Results'!$B$2:$I$543,9,FALSE)</f>
        <v>#N/A</v>
      </c>
      <c r="D18" t="e">
        <f>VLOOKUP(A18,'Overall Results'!$B$2:$I$543,10,FALSE)</f>
        <v>#N/A</v>
      </c>
      <c r="E18" s="3">
        <v>181.35</v>
      </c>
      <c r="F18" s="3">
        <v>3.36</v>
      </c>
      <c r="G18" s="8" t="e">
        <f>ABS(Table2[[#This Row],[E - FPts]]-Table2[[#This Row],[FPts]])</f>
        <v>#N/A</v>
      </c>
      <c r="H18" s="8" t="e">
        <f>ABS(Table2[[#This Row],[E - FP/G]]-Table2[[#This Row],[FP/G]])</f>
        <v>#N/A</v>
      </c>
    </row>
    <row r="19" spans="1:8" x14ac:dyDescent="0.25">
      <c r="A19" t="s">
        <v>1382</v>
      </c>
      <c r="B19" t="s">
        <v>1383</v>
      </c>
      <c r="C19" t="e">
        <f>VLOOKUP(A19,'Overall Results'!$B$2:$I$543,9,FALSE)</f>
        <v>#N/A</v>
      </c>
      <c r="D19" t="e">
        <f>VLOOKUP(A19,'Overall Results'!$B$2:$I$543,10,FALSE)</f>
        <v>#N/A</v>
      </c>
      <c r="E19" s="3">
        <v>0</v>
      </c>
      <c r="F19" s="3">
        <v>0</v>
      </c>
      <c r="G19" s="8" t="e">
        <f>ABS(Table2[[#This Row],[E - FPts]]-Table2[[#This Row],[FPts]])</f>
        <v>#N/A</v>
      </c>
      <c r="H19" s="8" t="e">
        <f>ABS(Table2[[#This Row],[E - FP/G]]-Table2[[#This Row],[FP/G]])</f>
        <v>#N/A</v>
      </c>
    </row>
    <row r="20" spans="1:8" x14ac:dyDescent="0.25">
      <c r="A20" t="s">
        <v>1247</v>
      </c>
      <c r="B20" t="s">
        <v>1248</v>
      </c>
      <c r="C20" t="e">
        <f>VLOOKUP(A20,'Overall Results'!$B$2:$I$543,9,FALSE)</f>
        <v>#REF!</v>
      </c>
      <c r="D20" t="e">
        <f>VLOOKUP(A20,'Overall Results'!$B$2:$I$543,10,FALSE)</f>
        <v>#REF!</v>
      </c>
      <c r="E20" s="3">
        <v>1.45</v>
      </c>
      <c r="F20" s="3">
        <v>0.48</v>
      </c>
      <c r="G20" s="8" t="e">
        <f>ABS(Table2[[#This Row],[E - FPts]]-Table2[[#This Row],[FPts]])</f>
        <v>#REF!</v>
      </c>
      <c r="H20" s="8" t="e">
        <f>ABS(Table2[[#This Row],[E - FP/G]]-Table2[[#This Row],[FP/G]])</f>
        <v>#REF!</v>
      </c>
    </row>
    <row r="21" spans="1:8" x14ac:dyDescent="0.25">
      <c r="A21" t="s">
        <v>1384</v>
      </c>
      <c r="B21" t="s">
        <v>1385</v>
      </c>
      <c r="C21" t="e">
        <f>VLOOKUP(A21,'Overall Results'!$B$2:$I$543,9,FALSE)</f>
        <v>#N/A</v>
      </c>
      <c r="D21" t="e">
        <f>VLOOKUP(A21,'Overall Results'!$B$2:$I$543,10,FALSE)</f>
        <v>#N/A</v>
      </c>
      <c r="E21" s="3">
        <v>0</v>
      </c>
      <c r="F21" s="3">
        <v>0</v>
      </c>
      <c r="G21" s="8" t="e">
        <f>ABS(Table2[[#This Row],[E - FPts]]-Table2[[#This Row],[FPts]])</f>
        <v>#N/A</v>
      </c>
      <c r="H21" s="8" t="e">
        <f>ABS(Table2[[#This Row],[E - FP/G]]-Table2[[#This Row],[FP/G]])</f>
        <v>#N/A</v>
      </c>
    </row>
    <row r="22" spans="1:8" x14ac:dyDescent="0.25">
      <c r="A22" t="s">
        <v>893</v>
      </c>
      <c r="B22" t="s">
        <v>894</v>
      </c>
      <c r="C22" t="e">
        <f>VLOOKUP(A22,'Overall Results'!$B$2:$I$543,9,FALSE)</f>
        <v>#N/A</v>
      </c>
      <c r="D22" t="e">
        <f>VLOOKUP(A22,'Overall Results'!$B$2:$I$543,10,FALSE)</f>
        <v>#N/A</v>
      </c>
      <c r="E22" s="3">
        <v>167.7</v>
      </c>
      <c r="F22" s="3">
        <v>2.27</v>
      </c>
      <c r="G22" s="8" t="e">
        <f>ABS(Table2[[#This Row],[E - FPts]]-Table2[[#This Row],[FPts]])</f>
        <v>#N/A</v>
      </c>
      <c r="H22" s="8" t="e">
        <f>ABS(Table2[[#This Row],[E - FP/G]]-Table2[[#This Row],[FP/G]])</f>
        <v>#N/A</v>
      </c>
    </row>
    <row r="23" spans="1:8" x14ac:dyDescent="0.25">
      <c r="A23" t="s">
        <v>99</v>
      </c>
      <c r="B23" t="s">
        <v>100</v>
      </c>
      <c r="C23" t="e">
        <f>VLOOKUP(A23,'Overall Results'!$B$2:$I$543,9,FALSE)</f>
        <v>#REF!</v>
      </c>
      <c r="D23" t="e">
        <f>VLOOKUP(A23,'Overall Results'!$B$2:$I$543,10,FALSE)</f>
        <v>#REF!</v>
      </c>
      <c r="E23" s="3">
        <v>474.4</v>
      </c>
      <c r="F23" s="3">
        <v>5.93</v>
      </c>
      <c r="G23" s="8" t="e">
        <f>ABS(Table2[[#This Row],[E - FPts]]-Table2[[#This Row],[FPts]])</f>
        <v>#REF!</v>
      </c>
      <c r="H23" s="8" t="e">
        <f>ABS(Table2[[#This Row],[E - FP/G]]-Table2[[#This Row],[FP/G]])</f>
        <v>#REF!</v>
      </c>
    </row>
    <row r="24" spans="1:8" x14ac:dyDescent="0.25">
      <c r="A24" t="s">
        <v>1386</v>
      </c>
      <c r="B24" t="s">
        <v>1387</v>
      </c>
      <c r="C24" t="e">
        <f>VLOOKUP(A24,'Overall Results'!$B$2:$I$543,9,FALSE)</f>
        <v>#N/A</v>
      </c>
      <c r="D24" t="e">
        <f>VLOOKUP(A24,'Overall Results'!$B$2:$I$543,10,FALSE)</f>
        <v>#N/A</v>
      </c>
      <c r="E24" s="3">
        <v>0</v>
      </c>
      <c r="F24" s="3">
        <v>0</v>
      </c>
      <c r="G24" s="8" t="e">
        <f>ABS(Table2[[#This Row],[E - FPts]]-Table2[[#This Row],[FPts]])</f>
        <v>#N/A</v>
      </c>
      <c r="H24" s="8" t="e">
        <f>ABS(Table2[[#This Row],[E - FP/G]]-Table2[[#This Row],[FP/G]])</f>
        <v>#N/A</v>
      </c>
    </row>
    <row r="25" spans="1:8" x14ac:dyDescent="0.25">
      <c r="A25" t="s">
        <v>1281</v>
      </c>
      <c r="B25" t="s">
        <v>1282</v>
      </c>
      <c r="C25" t="e">
        <f>VLOOKUP(A25,'Overall Results'!$B$2:$I$543,9,FALSE)</f>
        <v>#N/A</v>
      </c>
      <c r="D25" t="e">
        <f>VLOOKUP(A25,'Overall Results'!$B$2:$I$543,10,FALSE)</f>
        <v>#N/A</v>
      </c>
      <c r="E25" s="3">
        <v>0.75</v>
      </c>
      <c r="F25" s="3">
        <v>0.75</v>
      </c>
      <c r="G25" s="8" t="e">
        <f>ABS(Table2[[#This Row],[E - FPts]]-Table2[[#This Row],[FPts]])</f>
        <v>#N/A</v>
      </c>
      <c r="H25" s="8" t="e">
        <f>ABS(Table2[[#This Row],[E - FP/G]]-Table2[[#This Row],[FP/G]])</f>
        <v>#N/A</v>
      </c>
    </row>
    <row r="26" spans="1:8" x14ac:dyDescent="0.25">
      <c r="A26" t="s">
        <v>379</v>
      </c>
      <c r="B26" t="s">
        <v>380</v>
      </c>
      <c r="C26" t="e">
        <f>VLOOKUP(A26,'Overall Results'!$B$2:$I$543,9,FALSE)</f>
        <v>#REF!</v>
      </c>
      <c r="D26" t="e">
        <f>VLOOKUP(A26,'Overall Results'!$B$2:$I$543,10,FALSE)</f>
        <v>#REF!</v>
      </c>
      <c r="E26" s="3">
        <v>84.95</v>
      </c>
      <c r="F26" s="3">
        <v>4.72</v>
      </c>
      <c r="G26" s="8" t="e">
        <f>ABS(Table2[[#This Row],[E - FPts]]-Table2[[#This Row],[FPts]])</f>
        <v>#REF!</v>
      </c>
      <c r="H26" s="8" t="e">
        <f>ABS(Table2[[#This Row],[E - FP/G]]-Table2[[#This Row],[FP/G]])</f>
        <v>#REF!</v>
      </c>
    </row>
    <row r="27" spans="1:8" x14ac:dyDescent="0.25">
      <c r="A27" t="s">
        <v>1388</v>
      </c>
      <c r="B27" t="s">
        <v>1389</v>
      </c>
      <c r="C27" t="e">
        <f>VLOOKUP(A27,'Overall Results'!$B$2:$I$543,9,FALSE)</f>
        <v>#N/A</v>
      </c>
      <c r="D27" t="e">
        <f>VLOOKUP(A27,'Overall Results'!$B$2:$I$543,10,FALSE)</f>
        <v>#N/A</v>
      </c>
      <c r="E27" s="3">
        <v>0</v>
      </c>
      <c r="F27" s="3">
        <v>0</v>
      </c>
      <c r="G27" s="8" t="e">
        <f>ABS(Table2[[#This Row],[E - FPts]]-Table2[[#This Row],[FPts]])</f>
        <v>#N/A</v>
      </c>
      <c r="H27" s="8" t="e">
        <f>ABS(Table2[[#This Row],[E - FP/G]]-Table2[[#This Row],[FP/G]])</f>
        <v>#N/A</v>
      </c>
    </row>
    <row r="28" spans="1:8" x14ac:dyDescent="0.25">
      <c r="A28" t="s">
        <v>1390</v>
      </c>
      <c r="B28" t="s">
        <v>1391</v>
      </c>
      <c r="C28" t="e">
        <f>VLOOKUP(A28,'Overall Results'!$B$2:$I$543,9,FALSE)</f>
        <v>#N/A</v>
      </c>
      <c r="D28" t="e">
        <f>VLOOKUP(A28,'Overall Results'!$B$2:$I$543,10,FALSE)</f>
        <v>#N/A</v>
      </c>
      <c r="E28" s="3">
        <v>0</v>
      </c>
      <c r="F28" s="3">
        <v>0</v>
      </c>
      <c r="G28" s="8" t="e">
        <f>ABS(Table2[[#This Row],[E - FPts]]-Table2[[#This Row],[FPts]])</f>
        <v>#N/A</v>
      </c>
      <c r="H28" s="8" t="e">
        <f>ABS(Table2[[#This Row],[E - FP/G]]-Table2[[#This Row],[FP/G]])</f>
        <v>#N/A</v>
      </c>
    </row>
    <row r="29" spans="1:8" x14ac:dyDescent="0.25">
      <c r="A29" t="s">
        <v>1392</v>
      </c>
      <c r="B29" t="s">
        <v>1393</v>
      </c>
      <c r="C29" t="e">
        <f>VLOOKUP(A29,'Overall Results'!$B$2:$I$543,9,FALSE)</f>
        <v>#N/A</v>
      </c>
      <c r="D29" t="e">
        <f>VLOOKUP(A29,'Overall Results'!$B$2:$I$543,10,FALSE)</f>
        <v>#N/A</v>
      </c>
      <c r="E29" s="3">
        <v>0</v>
      </c>
      <c r="F29" s="3">
        <v>0</v>
      </c>
      <c r="G29" s="8" t="e">
        <f>ABS(Table2[[#This Row],[E - FPts]]-Table2[[#This Row],[FPts]])</f>
        <v>#N/A</v>
      </c>
      <c r="H29" s="8" t="e">
        <f>ABS(Table2[[#This Row],[E - FP/G]]-Table2[[#This Row],[FP/G]])</f>
        <v>#N/A</v>
      </c>
    </row>
    <row r="30" spans="1:8" x14ac:dyDescent="0.25">
      <c r="A30" t="s">
        <v>1394</v>
      </c>
      <c r="B30" t="s">
        <v>1395</v>
      </c>
      <c r="C30" t="e">
        <f>VLOOKUP(A30,'Overall Results'!$B$2:$I$543,9,FALSE)</f>
        <v>#N/A</v>
      </c>
      <c r="D30" t="e">
        <f>VLOOKUP(A30,'Overall Results'!$B$2:$I$543,10,FALSE)</f>
        <v>#N/A</v>
      </c>
      <c r="E30" s="3">
        <v>0</v>
      </c>
      <c r="F30" s="3">
        <v>0</v>
      </c>
      <c r="G30" s="8" t="e">
        <f>ABS(Table2[[#This Row],[E - FPts]]-Table2[[#This Row],[FPts]])</f>
        <v>#N/A</v>
      </c>
      <c r="H30" s="8" t="e">
        <f>ABS(Table2[[#This Row],[E - FP/G]]-Table2[[#This Row],[FP/G]])</f>
        <v>#N/A</v>
      </c>
    </row>
    <row r="31" spans="1:8" x14ac:dyDescent="0.25">
      <c r="A31" t="s">
        <v>1396</v>
      </c>
      <c r="B31" t="s">
        <v>1397</v>
      </c>
      <c r="C31" t="e">
        <f>VLOOKUP(A31,'Overall Results'!$B$2:$I$543,9,FALSE)</f>
        <v>#N/A</v>
      </c>
      <c r="D31" t="e">
        <f>VLOOKUP(A31,'Overall Results'!$B$2:$I$543,10,FALSE)</f>
        <v>#N/A</v>
      </c>
      <c r="E31" s="3">
        <v>0</v>
      </c>
      <c r="F31" s="3">
        <v>0</v>
      </c>
      <c r="G31" s="8" t="e">
        <f>ABS(Table2[[#This Row],[E - FPts]]-Table2[[#This Row],[FPts]])</f>
        <v>#N/A</v>
      </c>
      <c r="H31" s="8" t="e">
        <f>ABS(Table2[[#This Row],[E - FP/G]]-Table2[[#This Row],[FP/G]])</f>
        <v>#N/A</v>
      </c>
    </row>
    <row r="32" spans="1:8" x14ac:dyDescent="0.25">
      <c r="A32" t="s">
        <v>1398</v>
      </c>
      <c r="B32" t="s">
        <v>1399</v>
      </c>
      <c r="C32" t="e">
        <f>VLOOKUP(A32,'Overall Results'!$B$2:$I$543,9,FALSE)</f>
        <v>#N/A</v>
      </c>
      <c r="D32" t="e">
        <f>VLOOKUP(A32,'Overall Results'!$B$2:$I$543,10,FALSE)</f>
        <v>#N/A</v>
      </c>
      <c r="E32" s="3">
        <v>0</v>
      </c>
      <c r="F32" s="3">
        <v>0</v>
      </c>
      <c r="G32" s="8" t="e">
        <f>ABS(Table2[[#This Row],[E - FPts]]-Table2[[#This Row],[FPts]])</f>
        <v>#N/A</v>
      </c>
      <c r="H32" s="8" t="e">
        <f>ABS(Table2[[#This Row],[E - FP/G]]-Table2[[#This Row],[FP/G]])</f>
        <v>#N/A</v>
      </c>
    </row>
    <row r="33" spans="1:8" x14ac:dyDescent="0.25">
      <c r="A33" t="s">
        <v>1356</v>
      </c>
      <c r="B33" t="s">
        <v>1400</v>
      </c>
      <c r="C33" t="e">
        <f>VLOOKUP(A33,'Overall Results'!$B$2:$I$543,9,FALSE)</f>
        <v>#N/A</v>
      </c>
      <c r="D33" t="e">
        <f>VLOOKUP(A33,'Overall Results'!$B$2:$I$543,10,FALSE)</f>
        <v>#N/A</v>
      </c>
      <c r="E33" s="3">
        <v>194.2</v>
      </c>
      <c r="F33" s="3">
        <v>3.08</v>
      </c>
      <c r="G33" s="8" t="e">
        <f>ABS(Table2[[#This Row],[E - FPts]]-Table2[[#This Row],[FPts]])</f>
        <v>#N/A</v>
      </c>
      <c r="H33" s="8" t="e">
        <f>ABS(Table2[[#This Row],[E - FP/G]]-Table2[[#This Row],[FP/G]])</f>
        <v>#N/A</v>
      </c>
    </row>
    <row r="34" spans="1:8" x14ac:dyDescent="0.25">
      <c r="A34" t="s">
        <v>533</v>
      </c>
      <c r="B34" t="s">
        <v>534</v>
      </c>
      <c r="C34" t="e">
        <f>VLOOKUP(A34,'Overall Results'!$B$2:$I$543,9,FALSE)</f>
        <v>#REF!</v>
      </c>
      <c r="D34" t="e">
        <f>VLOOKUP(A34,'Overall Results'!$B$2:$I$543,10,FALSE)</f>
        <v>#REF!</v>
      </c>
      <c r="E34" s="3">
        <v>240.3</v>
      </c>
      <c r="F34" s="3">
        <v>3.29</v>
      </c>
      <c r="G34" s="8" t="e">
        <f>ABS(Table2[[#This Row],[E - FPts]]-Table2[[#This Row],[FPts]])</f>
        <v>#REF!</v>
      </c>
      <c r="H34" s="8" t="e">
        <f>ABS(Table2[[#This Row],[E - FP/G]]-Table2[[#This Row],[FP/G]])</f>
        <v>#REF!</v>
      </c>
    </row>
    <row r="35" spans="1:8" x14ac:dyDescent="0.25">
      <c r="A35" t="s">
        <v>154</v>
      </c>
      <c r="B35" t="s">
        <v>155</v>
      </c>
      <c r="C35" t="e">
        <f>VLOOKUP(A35,'Overall Results'!$B$2:$I$543,9,FALSE)</f>
        <v>#REF!</v>
      </c>
      <c r="D35" t="e">
        <f>VLOOKUP(A35,'Overall Results'!$B$2:$I$543,10,FALSE)</f>
        <v>#REF!</v>
      </c>
      <c r="E35" s="3">
        <v>479.55</v>
      </c>
      <c r="F35" s="3">
        <v>6.48</v>
      </c>
      <c r="G35" s="8" t="e">
        <f>ABS(Table2[[#This Row],[E - FPts]]-Table2[[#This Row],[FPts]])</f>
        <v>#REF!</v>
      </c>
      <c r="H35" s="8" t="e">
        <f>ABS(Table2[[#This Row],[E - FP/G]]-Table2[[#This Row],[FP/G]])</f>
        <v>#REF!</v>
      </c>
    </row>
    <row r="36" spans="1:8" x14ac:dyDescent="0.25">
      <c r="A36" t="s">
        <v>1025</v>
      </c>
      <c r="B36" t="s">
        <v>1026</v>
      </c>
      <c r="C36" t="e">
        <f>VLOOKUP(A36,'Overall Results'!$B$2:$I$543,9,FALSE)</f>
        <v>#N/A</v>
      </c>
      <c r="D36" t="e">
        <f>VLOOKUP(A36,'Overall Results'!$B$2:$I$543,10,FALSE)</f>
        <v>#N/A</v>
      </c>
      <c r="E36" s="3">
        <v>125</v>
      </c>
      <c r="F36" s="3">
        <v>2.19</v>
      </c>
      <c r="G36" s="8" t="e">
        <f>ABS(Table2[[#This Row],[E - FPts]]-Table2[[#This Row],[FPts]])</f>
        <v>#N/A</v>
      </c>
      <c r="H36" s="8" t="e">
        <f>ABS(Table2[[#This Row],[E - FP/G]]-Table2[[#This Row],[FP/G]])</f>
        <v>#N/A</v>
      </c>
    </row>
    <row r="37" spans="1:8" x14ac:dyDescent="0.25">
      <c r="A37" t="s">
        <v>1401</v>
      </c>
      <c r="B37" t="s">
        <v>1402</v>
      </c>
      <c r="C37" t="e">
        <f>VLOOKUP(A37,'Overall Results'!$B$2:$I$543,9,FALSE)</f>
        <v>#N/A</v>
      </c>
      <c r="D37" t="e">
        <f>VLOOKUP(A37,'Overall Results'!$B$2:$I$543,10,FALSE)</f>
        <v>#N/A</v>
      </c>
      <c r="E37" s="3">
        <v>0</v>
      </c>
      <c r="F37" s="3">
        <v>0</v>
      </c>
      <c r="G37" s="8" t="e">
        <f>ABS(Table2[[#This Row],[E - FPts]]-Table2[[#This Row],[FPts]])</f>
        <v>#N/A</v>
      </c>
      <c r="H37" s="8" t="e">
        <f>ABS(Table2[[#This Row],[E - FP/G]]-Table2[[#This Row],[FP/G]])</f>
        <v>#N/A</v>
      </c>
    </row>
    <row r="38" spans="1:8" x14ac:dyDescent="0.25">
      <c r="A38" t="s">
        <v>557</v>
      </c>
      <c r="B38" t="s">
        <v>558</v>
      </c>
      <c r="C38" t="e">
        <f>VLOOKUP(A38,'Overall Results'!$B$2:$I$543,9,FALSE)</f>
        <v>#REF!</v>
      </c>
      <c r="D38" t="e">
        <f>VLOOKUP(A38,'Overall Results'!$B$2:$I$543,10,FALSE)</f>
        <v>#REF!</v>
      </c>
      <c r="E38" s="3">
        <v>103.45</v>
      </c>
      <c r="F38" s="3">
        <v>3.13</v>
      </c>
      <c r="G38" s="8" t="e">
        <f>ABS(Table2[[#This Row],[E - FPts]]-Table2[[#This Row],[FPts]])</f>
        <v>#REF!</v>
      </c>
      <c r="H38" s="8" t="e">
        <f>ABS(Table2[[#This Row],[E - FP/G]]-Table2[[#This Row],[FP/G]])</f>
        <v>#REF!</v>
      </c>
    </row>
    <row r="39" spans="1:8" x14ac:dyDescent="0.25">
      <c r="A39" t="s">
        <v>1403</v>
      </c>
      <c r="B39" t="s">
        <v>1404</v>
      </c>
      <c r="C39" t="e">
        <f>VLOOKUP(A39,'Overall Results'!$B$2:$I$543,9,FALSE)</f>
        <v>#N/A</v>
      </c>
      <c r="D39" t="e">
        <f>VLOOKUP(A39,'Overall Results'!$B$2:$I$543,10,FALSE)</f>
        <v>#N/A</v>
      </c>
      <c r="E39" s="3">
        <v>0</v>
      </c>
      <c r="F39" s="3">
        <v>0</v>
      </c>
      <c r="G39" s="8" t="e">
        <f>ABS(Table2[[#This Row],[E - FPts]]-Table2[[#This Row],[FPts]])</f>
        <v>#N/A</v>
      </c>
      <c r="H39" s="8" t="e">
        <f>ABS(Table2[[#This Row],[E - FP/G]]-Table2[[#This Row],[FP/G]])</f>
        <v>#N/A</v>
      </c>
    </row>
    <row r="40" spans="1:8" x14ac:dyDescent="0.25">
      <c r="A40" t="s">
        <v>1405</v>
      </c>
      <c r="B40" t="s">
        <v>1406</v>
      </c>
      <c r="C40" t="e">
        <f>VLOOKUP(A40,'Overall Results'!$B$2:$I$543,9,FALSE)</f>
        <v>#N/A</v>
      </c>
      <c r="D40" t="e">
        <f>VLOOKUP(A40,'Overall Results'!$B$2:$I$543,10,FALSE)</f>
        <v>#N/A</v>
      </c>
      <c r="E40" s="3">
        <v>80.150000000000006</v>
      </c>
      <c r="F40" s="3">
        <v>1.86</v>
      </c>
      <c r="G40" s="8" t="e">
        <f>ABS(Table2[[#This Row],[E - FPts]]-Table2[[#This Row],[FPts]])</f>
        <v>#N/A</v>
      </c>
      <c r="H40" s="8" t="e">
        <f>ABS(Table2[[#This Row],[E - FP/G]]-Table2[[#This Row],[FP/G]])</f>
        <v>#N/A</v>
      </c>
    </row>
    <row r="41" spans="1:8" x14ac:dyDescent="0.25">
      <c r="A41" t="s">
        <v>1407</v>
      </c>
      <c r="B41" t="s">
        <v>1408</v>
      </c>
      <c r="C41" t="e">
        <f>VLOOKUP(A41,'Overall Results'!$B$2:$I$543,9,FALSE)</f>
        <v>#N/A</v>
      </c>
      <c r="D41" t="e">
        <f>VLOOKUP(A41,'Overall Results'!$B$2:$I$543,10,FALSE)</f>
        <v>#N/A</v>
      </c>
      <c r="E41" s="3">
        <v>0</v>
      </c>
      <c r="F41" s="3">
        <v>0</v>
      </c>
      <c r="G41" s="8" t="e">
        <f>ABS(Table2[[#This Row],[E - FPts]]-Table2[[#This Row],[FPts]])</f>
        <v>#N/A</v>
      </c>
      <c r="H41" s="8" t="e">
        <f>ABS(Table2[[#This Row],[E - FP/G]]-Table2[[#This Row],[FP/G]])</f>
        <v>#N/A</v>
      </c>
    </row>
    <row r="42" spans="1:8" x14ac:dyDescent="0.25">
      <c r="A42" t="s">
        <v>1409</v>
      </c>
      <c r="B42" t="s">
        <v>1410</v>
      </c>
      <c r="C42" t="e">
        <f>VLOOKUP(A42,'Overall Results'!$B$2:$I$543,9,FALSE)</f>
        <v>#N/A</v>
      </c>
      <c r="D42" t="e">
        <f>VLOOKUP(A42,'Overall Results'!$B$2:$I$543,10,FALSE)</f>
        <v>#N/A</v>
      </c>
      <c r="E42" s="3">
        <v>0</v>
      </c>
      <c r="F42" s="3">
        <v>0</v>
      </c>
      <c r="G42" s="8" t="e">
        <f>ABS(Table2[[#This Row],[E - FPts]]-Table2[[#This Row],[FPts]])</f>
        <v>#N/A</v>
      </c>
      <c r="H42" s="8" t="e">
        <f>ABS(Table2[[#This Row],[E - FP/G]]-Table2[[#This Row],[FP/G]])</f>
        <v>#N/A</v>
      </c>
    </row>
    <row r="43" spans="1:8" x14ac:dyDescent="0.25">
      <c r="A43" t="s">
        <v>1149</v>
      </c>
      <c r="B43" t="s">
        <v>1150</v>
      </c>
      <c r="C43" t="e">
        <f>VLOOKUP(A43,'Overall Results'!$B$2:$I$543,9,FALSE)</f>
        <v>#N/A</v>
      </c>
      <c r="D43" t="e">
        <f>VLOOKUP(A43,'Overall Results'!$B$2:$I$543,10,FALSE)</f>
        <v>#N/A</v>
      </c>
      <c r="E43" s="3">
        <v>106.35</v>
      </c>
      <c r="F43" s="3">
        <v>2.0099999999999998</v>
      </c>
      <c r="G43" s="8" t="e">
        <f>ABS(Table2[[#This Row],[E - FPts]]-Table2[[#This Row],[FPts]])</f>
        <v>#N/A</v>
      </c>
      <c r="H43" s="8" t="e">
        <f>ABS(Table2[[#This Row],[E - FP/G]]-Table2[[#This Row],[FP/G]])</f>
        <v>#N/A</v>
      </c>
    </row>
    <row r="44" spans="1:8" x14ac:dyDescent="0.25">
      <c r="A44" t="s">
        <v>1411</v>
      </c>
      <c r="B44" t="s">
        <v>1412</v>
      </c>
      <c r="C44" t="e">
        <f>VLOOKUP(A44,'Overall Results'!$B$2:$I$543,9,FALSE)</f>
        <v>#N/A</v>
      </c>
      <c r="D44" t="e">
        <f>VLOOKUP(A44,'Overall Results'!$B$2:$I$543,10,FALSE)</f>
        <v>#N/A</v>
      </c>
      <c r="E44" s="3">
        <v>0</v>
      </c>
      <c r="F44" s="3">
        <v>0</v>
      </c>
      <c r="G44" s="8" t="e">
        <f>ABS(Table2[[#This Row],[E - FPts]]-Table2[[#This Row],[FPts]])</f>
        <v>#N/A</v>
      </c>
      <c r="H44" s="8" t="e">
        <f>ABS(Table2[[#This Row],[E - FP/G]]-Table2[[#This Row],[FP/G]])</f>
        <v>#N/A</v>
      </c>
    </row>
    <row r="45" spans="1:8" x14ac:dyDescent="0.25">
      <c r="A45" t="s">
        <v>1413</v>
      </c>
      <c r="B45" t="s">
        <v>1414</v>
      </c>
      <c r="C45" t="e">
        <f>VLOOKUP(A45,'Overall Results'!$B$2:$I$543,9,FALSE)</f>
        <v>#N/A</v>
      </c>
      <c r="D45" t="e">
        <f>VLOOKUP(A45,'Overall Results'!$B$2:$I$543,10,FALSE)</f>
        <v>#N/A</v>
      </c>
      <c r="E45" s="3">
        <v>0</v>
      </c>
      <c r="F45" s="3">
        <v>0</v>
      </c>
      <c r="G45" s="8" t="e">
        <f>ABS(Table2[[#This Row],[E - FPts]]-Table2[[#This Row],[FPts]])</f>
        <v>#N/A</v>
      </c>
      <c r="H45" s="8" t="e">
        <f>ABS(Table2[[#This Row],[E - FP/G]]-Table2[[#This Row],[FP/G]])</f>
        <v>#N/A</v>
      </c>
    </row>
    <row r="46" spans="1:8" x14ac:dyDescent="0.25">
      <c r="A46" t="s">
        <v>1415</v>
      </c>
      <c r="B46" t="s">
        <v>1416</v>
      </c>
      <c r="C46" t="e">
        <f>VLOOKUP(A46,'Overall Results'!$B$2:$I$543,9,FALSE)</f>
        <v>#N/A</v>
      </c>
      <c r="D46" t="e">
        <f>VLOOKUP(A46,'Overall Results'!$B$2:$I$543,10,FALSE)</f>
        <v>#N/A</v>
      </c>
      <c r="E46" s="3">
        <v>0</v>
      </c>
      <c r="F46" s="3">
        <v>0</v>
      </c>
      <c r="G46" s="8" t="e">
        <f>ABS(Table2[[#This Row],[E - FPts]]-Table2[[#This Row],[FPts]])</f>
        <v>#N/A</v>
      </c>
      <c r="H46" s="8" t="e">
        <f>ABS(Table2[[#This Row],[E - FP/G]]-Table2[[#This Row],[FP/G]])</f>
        <v>#N/A</v>
      </c>
    </row>
    <row r="47" spans="1:8" x14ac:dyDescent="0.25">
      <c r="A47" t="s">
        <v>1417</v>
      </c>
      <c r="B47" t="s">
        <v>1418</v>
      </c>
      <c r="C47" t="e">
        <f>VLOOKUP(A47,'Overall Results'!$B$2:$I$543,9,FALSE)</f>
        <v>#N/A</v>
      </c>
      <c r="D47" t="e">
        <f>VLOOKUP(A47,'Overall Results'!$B$2:$I$543,10,FALSE)</f>
        <v>#N/A</v>
      </c>
      <c r="E47" s="3">
        <v>0</v>
      </c>
      <c r="F47" s="3">
        <v>0</v>
      </c>
      <c r="G47" s="8" t="e">
        <f>ABS(Table2[[#This Row],[E - FPts]]-Table2[[#This Row],[FPts]])</f>
        <v>#N/A</v>
      </c>
      <c r="H47" s="8" t="e">
        <f>ABS(Table2[[#This Row],[E - FP/G]]-Table2[[#This Row],[FP/G]])</f>
        <v>#N/A</v>
      </c>
    </row>
    <row r="48" spans="1:8" x14ac:dyDescent="0.25">
      <c r="A48" t="s">
        <v>1419</v>
      </c>
      <c r="B48" t="s">
        <v>1420</v>
      </c>
      <c r="C48" t="e">
        <f>VLOOKUP(A48,'Overall Results'!$B$2:$I$543,9,FALSE)</f>
        <v>#N/A</v>
      </c>
      <c r="D48" t="e">
        <f>VLOOKUP(A48,'Overall Results'!$B$2:$I$543,10,FALSE)</f>
        <v>#N/A</v>
      </c>
      <c r="E48" s="3">
        <v>0</v>
      </c>
      <c r="F48" s="3">
        <v>0</v>
      </c>
      <c r="G48" s="8" t="e">
        <f>ABS(Table2[[#This Row],[E - FPts]]-Table2[[#This Row],[FPts]])</f>
        <v>#N/A</v>
      </c>
      <c r="H48" s="8" t="e">
        <f>ABS(Table2[[#This Row],[E - FP/G]]-Table2[[#This Row],[FP/G]])</f>
        <v>#N/A</v>
      </c>
    </row>
    <row r="49" spans="1:8" x14ac:dyDescent="0.25">
      <c r="A49" t="s">
        <v>687</v>
      </c>
      <c r="B49" t="s">
        <v>688</v>
      </c>
      <c r="C49" t="e">
        <f>VLOOKUP(A49,'Overall Results'!$B$2:$I$543,9,FALSE)</f>
        <v>#REF!</v>
      </c>
      <c r="D49" t="e">
        <f>VLOOKUP(A49,'Overall Results'!$B$2:$I$543,10,FALSE)</f>
        <v>#REF!</v>
      </c>
      <c r="E49" s="3">
        <v>152.4</v>
      </c>
      <c r="F49" s="3">
        <v>3.11</v>
      </c>
      <c r="G49" s="8" t="e">
        <f>ABS(Table2[[#This Row],[E - FPts]]-Table2[[#This Row],[FPts]])</f>
        <v>#REF!</v>
      </c>
      <c r="H49" s="8" t="e">
        <f>ABS(Table2[[#This Row],[E - FP/G]]-Table2[[#This Row],[FP/G]])</f>
        <v>#REF!</v>
      </c>
    </row>
    <row r="50" spans="1:8" x14ac:dyDescent="0.25">
      <c r="A50" t="s">
        <v>1421</v>
      </c>
      <c r="B50" t="s">
        <v>1422</v>
      </c>
      <c r="C50" t="e">
        <f>VLOOKUP(A50,'Overall Results'!$B$2:$I$543,9,FALSE)</f>
        <v>#N/A</v>
      </c>
      <c r="D50" t="e">
        <f>VLOOKUP(A50,'Overall Results'!$B$2:$I$543,10,FALSE)</f>
        <v>#N/A</v>
      </c>
      <c r="E50" s="3">
        <v>0</v>
      </c>
      <c r="F50" s="3">
        <v>0</v>
      </c>
      <c r="G50" s="8" t="e">
        <f>ABS(Table2[[#This Row],[E - FPts]]-Table2[[#This Row],[FPts]])</f>
        <v>#N/A</v>
      </c>
      <c r="H50" s="8" t="e">
        <f>ABS(Table2[[#This Row],[E - FP/G]]-Table2[[#This Row],[FP/G]])</f>
        <v>#N/A</v>
      </c>
    </row>
    <row r="51" spans="1:8" x14ac:dyDescent="0.25">
      <c r="A51" t="s">
        <v>541</v>
      </c>
      <c r="B51" t="s">
        <v>542</v>
      </c>
      <c r="C51" t="e">
        <f>VLOOKUP(A51,'Overall Results'!$B$2:$I$543,9,FALSE)</f>
        <v>#REF!</v>
      </c>
      <c r="D51" t="e">
        <f>VLOOKUP(A51,'Overall Results'!$B$2:$I$543,10,FALSE)</f>
        <v>#REF!</v>
      </c>
      <c r="E51" s="3">
        <v>222.8</v>
      </c>
      <c r="F51" s="3">
        <v>3.28</v>
      </c>
      <c r="G51" s="8" t="e">
        <f>ABS(Table2[[#This Row],[E - FPts]]-Table2[[#This Row],[FPts]])</f>
        <v>#REF!</v>
      </c>
      <c r="H51" s="8" t="e">
        <f>ABS(Table2[[#This Row],[E - FP/G]]-Table2[[#This Row],[FP/G]])</f>
        <v>#REF!</v>
      </c>
    </row>
    <row r="52" spans="1:8" x14ac:dyDescent="0.25">
      <c r="A52" t="s">
        <v>1097</v>
      </c>
      <c r="B52" t="s">
        <v>1098</v>
      </c>
      <c r="C52" t="e">
        <f>VLOOKUP(A52,'Overall Results'!$B$2:$I$543,9,FALSE)</f>
        <v>#N/A</v>
      </c>
      <c r="D52" t="e">
        <f>VLOOKUP(A52,'Overall Results'!$B$2:$I$543,10,FALSE)</f>
        <v>#N/A</v>
      </c>
      <c r="E52" s="3">
        <v>15.4</v>
      </c>
      <c r="F52" s="3">
        <v>1.92</v>
      </c>
      <c r="G52" s="8" t="e">
        <f>ABS(Table2[[#This Row],[E - FPts]]-Table2[[#This Row],[FPts]])</f>
        <v>#N/A</v>
      </c>
      <c r="H52" s="8" t="e">
        <f>ABS(Table2[[#This Row],[E - FP/G]]-Table2[[#This Row],[FP/G]])</f>
        <v>#N/A</v>
      </c>
    </row>
    <row r="53" spans="1:8" x14ac:dyDescent="0.25">
      <c r="A53" t="s">
        <v>1423</v>
      </c>
      <c r="B53" t="s">
        <v>1424</v>
      </c>
      <c r="C53" t="e">
        <f>VLOOKUP(A53,'Overall Results'!$B$2:$I$543,9,FALSE)</f>
        <v>#N/A</v>
      </c>
      <c r="D53" t="e">
        <f>VLOOKUP(A53,'Overall Results'!$B$2:$I$543,10,FALSE)</f>
        <v>#N/A</v>
      </c>
      <c r="E53" s="3">
        <v>0</v>
      </c>
      <c r="F53" s="3">
        <v>0</v>
      </c>
      <c r="G53" s="8" t="e">
        <f>ABS(Table2[[#This Row],[E - FPts]]-Table2[[#This Row],[FPts]])</f>
        <v>#N/A</v>
      </c>
      <c r="H53" s="8" t="e">
        <f>ABS(Table2[[#This Row],[E - FP/G]]-Table2[[#This Row],[FP/G]])</f>
        <v>#N/A</v>
      </c>
    </row>
    <row r="54" spans="1:8" x14ac:dyDescent="0.25">
      <c r="A54" t="s">
        <v>797</v>
      </c>
      <c r="B54" t="s">
        <v>798</v>
      </c>
      <c r="C54" t="e">
        <f>VLOOKUP(A54,'Overall Results'!$B$2:$I$543,9,FALSE)</f>
        <v>#N/A</v>
      </c>
      <c r="D54" t="e">
        <f>VLOOKUP(A54,'Overall Results'!$B$2:$I$543,10,FALSE)</f>
        <v>#N/A</v>
      </c>
      <c r="E54" s="3">
        <v>74.45</v>
      </c>
      <c r="F54" s="3">
        <v>2.33</v>
      </c>
      <c r="G54" s="8" t="e">
        <f>ABS(Table2[[#This Row],[E - FPts]]-Table2[[#This Row],[FPts]])</f>
        <v>#N/A</v>
      </c>
      <c r="H54" s="8" t="e">
        <f>ABS(Table2[[#This Row],[E - FP/G]]-Table2[[#This Row],[FP/G]])</f>
        <v>#N/A</v>
      </c>
    </row>
    <row r="55" spans="1:8" x14ac:dyDescent="0.25">
      <c r="A55" t="s">
        <v>327</v>
      </c>
      <c r="B55" t="s">
        <v>328</v>
      </c>
      <c r="C55" t="e">
        <f>VLOOKUP(A55,'Overall Results'!$B$2:$I$543,9,FALSE)</f>
        <v>#N/A</v>
      </c>
      <c r="D55" t="e">
        <f>VLOOKUP(A55,'Overall Results'!$B$2:$I$543,10,FALSE)</f>
        <v>#N/A</v>
      </c>
      <c r="E55" s="3">
        <v>388</v>
      </c>
      <c r="F55" s="3">
        <v>4.79</v>
      </c>
      <c r="G55" s="8" t="e">
        <f>ABS(Table2[[#This Row],[E - FPts]]-Table2[[#This Row],[FPts]])</f>
        <v>#N/A</v>
      </c>
      <c r="H55" s="8" t="e">
        <f>ABS(Table2[[#This Row],[E - FP/G]]-Table2[[#This Row],[FP/G]])</f>
        <v>#N/A</v>
      </c>
    </row>
    <row r="56" spans="1:8" x14ac:dyDescent="0.25">
      <c r="A56" t="s">
        <v>1425</v>
      </c>
      <c r="B56" t="s">
        <v>1426</v>
      </c>
      <c r="C56" t="e">
        <f>VLOOKUP(A56,'Overall Results'!$B$2:$I$543,9,FALSE)</f>
        <v>#N/A</v>
      </c>
      <c r="D56" t="e">
        <f>VLOOKUP(A56,'Overall Results'!$B$2:$I$543,10,FALSE)</f>
        <v>#N/A</v>
      </c>
      <c r="E56" s="3">
        <v>0</v>
      </c>
      <c r="F56" s="3">
        <v>0</v>
      </c>
      <c r="G56" s="8" t="e">
        <f>ABS(Table2[[#This Row],[E - FPts]]-Table2[[#This Row],[FPts]])</f>
        <v>#N/A</v>
      </c>
      <c r="H56" s="8" t="e">
        <f>ABS(Table2[[#This Row],[E - FP/G]]-Table2[[#This Row],[FP/G]])</f>
        <v>#N/A</v>
      </c>
    </row>
    <row r="57" spans="1:8" x14ac:dyDescent="0.25">
      <c r="A57" t="s">
        <v>1427</v>
      </c>
      <c r="B57" t="s">
        <v>1428</v>
      </c>
      <c r="C57" t="e">
        <f>VLOOKUP(A57,'Overall Results'!$B$2:$I$543,9,FALSE)</f>
        <v>#N/A</v>
      </c>
      <c r="D57" t="e">
        <f>VLOOKUP(A57,'Overall Results'!$B$2:$I$543,10,FALSE)</f>
        <v>#N/A</v>
      </c>
      <c r="E57" s="3">
        <v>0</v>
      </c>
      <c r="F57" s="3">
        <v>0</v>
      </c>
      <c r="G57" s="8" t="e">
        <f>ABS(Table2[[#This Row],[E - FPts]]-Table2[[#This Row],[FPts]])</f>
        <v>#N/A</v>
      </c>
      <c r="H57" s="8" t="e">
        <f>ABS(Table2[[#This Row],[E - FP/G]]-Table2[[#This Row],[FP/G]])</f>
        <v>#N/A</v>
      </c>
    </row>
    <row r="58" spans="1:8" x14ac:dyDescent="0.25">
      <c r="A58" t="s">
        <v>1429</v>
      </c>
      <c r="B58" t="s">
        <v>1430</v>
      </c>
      <c r="C58" t="e">
        <f>VLOOKUP(A58,'Overall Results'!$B$2:$I$543,9,FALSE)</f>
        <v>#N/A</v>
      </c>
      <c r="D58" t="e">
        <f>VLOOKUP(A58,'Overall Results'!$B$2:$I$543,10,FALSE)</f>
        <v>#N/A</v>
      </c>
      <c r="E58" s="3">
        <v>0</v>
      </c>
      <c r="F58" s="3">
        <v>0</v>
      </c>
      <c r="G58" s="8" t="e">
        <f>ABS(Table2[[#This Row],[E - FPts]]-Table2[[#This Row],[FPts]])</f>
        <v>#N/A</v>
      </c>
      <c r="H58" s="8" t="e">
        <f>ABS(Table2[[#This Row],[E - FP/G]]-Table2[[#This Row],[FP/G]])</f>
        <v>#N/A</v>
      </c>
    </row>
    <row r="59" spans="1:8" x14ac:dyDescent="0.25">
      <c r="A59" t="s">
        <v>1431</v>
      </c>
      <c r="B59" t="s">
        <v>1432</v>
      </c>
      <c r="C59" t="e">
        <f>VLOOKUP(A59,'Overall Results'!$B$2:$I$543,9,FALSE)</f>
        <v>#N/A</v>
      </c>
      <c r="D59" t="e">
        <f>VLOOKUP(A59,'Overall Results'!$B$2:$I$543,10,FALSE)</f>
        <v>#N/A</v>
      </c>
      <c r="E59" s="3">
        <v>0</v>
      </c>
      <c r="F59" s="3">
        <v>0</v>
      </c>
      <c r="G59" s="8" t="e">
        <f>ABS(Table2[[#This Row],[E - FPts]]-Table2[[#This Row],[FPts]])</f>
        <v>#N/A</v>
      </c>
      <c r="H59" s="8" t="e">
        <f>ABS(Table2[[#This Row],[E - FP/G]]-Table2[[#This Row],[FP/G]])</f>
        <v>#N/A</v>
      </c>
    </row>
    <row r="60" spans="1:8" x14ac:dyDescent="0.25">
      <c r="A60" t="s">
        <v>1433</v>
      </c>
      <c r="B60" t="s">
        <v>1434</v>
      </c>
      <c r="C60" t="e">
        <f>VLOOKUP(A60,'Overall Results'!$B$2:$I$543,9,FALSE)</f>
        <v>#N/A</v>
      </c>
      <c r="D60" t="e">
        <f>VLOOKUP(A60,'Overall Results'!$B$2:$I$543,10,FALSE)</f>
        <v>#N/A</v>
      </c>
      <c r="E60" s="3">
        <v>0</v>
      </c>
      <c r="F60" s="3">
        <v>0</v>
      </c>
      <c r="G60" s="8" t="e">
        <f>ABS(Table2[[#This Row],[E - FPts]]-Table2[[#This Row],[FPts]])</f>
        <v>#N/A</v>
      </c>
      <c r="H60" s="8" t="e">
        <f>ABS(Table2[[#This Row],[E - FP/G]]-Table2[[#This Row],[FP/G]])</f>
        <v>#N/A</v>
      </c>
    </row>
    <row r="61" spans="1:8" x14ac:dyDescent="0.25">
      <c r="A61" t="s">
        <v>419</v>
      </c>
      <c r="B61" t="s">
        <v>420</v>
      </c>
      <c r="C61" t="e">
        <f>VLOOKUP(A61,'Overall Results'!$B$2:$I$543,9,FALSE)</f>
        <v>#REF!</v>
      </c>
      <c r="D61" t="e">
        <f>VLOOKUP(A61,'Overall Results'!$B$2:$I$543,10,FALSE)</f>
        <v>#REF!</v>
      </c>
      <c r="E61" s="3">
        <v>196.1</v>
      </c>
      <c r="F61" s="3">
        <v>3.85</v>
      </c>
      <c r="G61" s="8" t="e">
        <f>ABS(Table2[[#This Row],[E - FPts]]-Table2[[#This Row],[FPts]])</f>
        <v>#REF!</v>
      </c>
      <c r="H61" s="8" t="e">
        <f>ABS(Table2[[#This Row],[E - FP/G]]-Table2[[#This Row],[FP/G]])</f>
        <v>#REF!</v>
      </c>
    </row>
    <row r="62" spans="1:8" x14ac:dyDescent="0.25">
      <c r="A62" t="s">
        <v>1435</v>
      </c>
      <c r="B62" t="s">
        <v>1436</v>
      </c>
      <c r="C62" t="e">
        <f>VLOOKUP(A62,'Overall Results'!$B$2:$I$543,9,FALSE)</f>
        <v>#N/A</v>
      </c>
      <c r="D62" t="e">
        <f>VLOOKUP(A62,'Overall Results'!$B$2:$I$543,10,FALSE)</f>
        <v>#N/A</v>
      </c>
      <c r="E62" s="3">
        <v>0</v>
      </c>
      <c r="F62" s="3">
        <v>0</v>
      </c>
      <c r="G62" s="8" t="e">
        <f>ABS(Table2[[#This Row],[E - FPts]]-Table2[[#This Row],[FPts]])</f>
        <v>#N/A</v>
      </c>
      <c r="H62" s="8" t="e">
        <f>ABS(Table2[[#This Row],[E - FP/G]]-Table2[[#This Row],[FP/G]])</f>
        <v>#N/A</v>
      </c>
    </row>
    <row r="63" spans="1:8" x14ac:dyDescent="0.25">
      <c r="A63" t="s">
        <v>38</v>
      </c>
      <c r="B63" t="s">
        <v>39</v>
      </c>
      <c r="C63" t="e">
        <f>VLOOKUP(A63,'Overall Results'!$B$2:$I$543,9,FALSE)</f>
        <v>#REF!</v>
      </c>
      <c r="D63" t="e">
        <f>VLOOKUP(A63,'Overall Results'!$B$2:$I$543,10,FALSE)</f>
        <v>#REF!</v>
      </c>
      <c r="E63" s="3">
        <v>562.15</v>
      </c>
      <c r="F63" s="3">
        <v>7.12</v>
      </c>
      <c r="G63" s="8" t="e">
        <f>ABS(Table2[[#This Row],[E - FPts]]-Table2[[#This Row],[FPts]])</f>
        <v>#REF!</v>
      </c>
      <c r="H63" s="8" t="e">
        <f>ABS(Table2[[#This Row],[E - FP/G]]-Table2[[#This Row],[FP/G]])</f>
        <v>#REF!</v>
      </c>
    </row>
    <row r="64" spans="1:8" x14ac:dyDescent="0.25">
      <c r="A64" t="s">
        <v>523</v>
      </c>
      <c r="B64" t="s">
        <v>524</v>
      </c>
      <c r="C64" t="e">
        <f>VLOOKUP(A64,'Overall Results'!$B$2:$I$543,9,FALSE)</f>
        <v>#REF!</v>
      </c>
      <c r="D64" t="e">
        <f>VLOOKUP(A64,'Overall Results'!$B$2:$I$543,10,FALSE)</f>
        <v>#REF!</v>
      </c>
      <c r="E64" s="3">
        <v>271.3</v>
      </c>
      <c r="F64" s="3">
        <v>3.72</v>
      </c>
      <c r="G64" s="8" t="e">
        <f>ABS(Table2[[#This Row],[E - FPts]]-Table2[[#This Row],[FPts]])</f>
        <v>#REF!</v>
      </c>
      <c r="H64" s="8" t="e">
        <f>ABS(Table2[[#This Row],[E - FP/G]]-Table2[[#This Row],[FP/G]])</f>
        <v>#REF!</v>
      </c>
    </row>
    <row r="65" spans="1:8" x14ac:dyDescent="0.25">
      <c r="A65" t="s">
        <v>261</v>
      </c>
      <c r="B65" t="s">
        <v>262</v>
      </c>
      <c r="C65" t="e">
        <f>VLOOKUP(A65,'Overall Results'!$B$2:$I$543,9,FALSE)</f>
        <v>#REF!</v>
      </c>
      <c r="D65" t="e">
        <f>VLOOKUP(A65,'Overall Results'!$B$2:$I$543,10,FALSE)</f>
        <v>#REF!</v>
      </c>
      <c r="E65" s="3">
        <v>371.75</v>
      </c>
      <c r="F65" s="3">
        <v>4.6500000000000004</v>
      </c>
      <c r="G65" s="8" t="e">
        <f>ABS(Table2[[#This Row],[E - FPts]]-Table2[[#This Row],[FPts]])</f>
        <v>#REF!</v>
      </c>
      <c r="H65" s="8" t="e">
        <f>ABS(Table2[[#This Row],[E - FP/G]]-Table2[[#This Row],[FP/G]])</f>
        <v>#REF!</v>
      </c>
    </row>
    <row r="66" spans="1:8" x14ac:dyDescent="0.25">
      <c r="A66" t="s">
        <v>709</v>
      </c>
      <c r="B66" t="s">
        <v>710</v>
      </c>
      <c r="C66" t="e">
        <f>VLOOKUP(A66,'Overall Results'!$B$2:$I$543,9,FALSE)</f>
        <v>#N/A</v>
      </c>
      <c r="D66" t="e">
        <f>VLOOKUP(A66,'Overall Results'!$B$2:$I$543,10,FALSE)</f>
        <v>#N/A</v>
      </c>
      <c r="E66" s="3">
        <v>185.9</v>
      </c>
      <c r="F66" s="3">
        <v>2.66</v>
      </c>
      <c r="G66" s="8" t="e">
        <f>ABS(Table2[[#This Row],[E - FPts]]-Table2[[#This Row],[FPts]])</f>
        <v>#N/A</v>
      </c>
      <c r="H66" s="8" t="e">
        <f>ABS(Table2[[#This Row],[E - FP/G]]-Table2[[#This Row],[FP/G]])</f>
        <v>#N/A</v>
      </c>
    </row>
    <row r="67" spans="1:8" x14ac:dyDescent="0.25">
      <c r="A67" t="s">
        <v>1437</v>
      </c>
      <c r="B67" t="s">
        <v>1438</v>
      </c>
      <c r="C67" t="e">
        <f>VLOOKUP(A67,'Overall Results'!$B$2:$I$543,9,FALSE)</f>
        <v>#N/A</v>
      </c>
      <c r="D67" t="e">
        <f>VLOOKUP(A67,'Overall Results'!$B$2:$I$543,10,FALSE)</f>
        <v>#N/A</v>
      </c>
      <c r="E67" s="3">
        <v>0</v>
      </c>
      <c r="F67" s="3">
        <v>0</v>
      </c>
      <c r="G67" s="8" t="e">
        <f>ABS(Table2[[#This Row],[E - FPts]]-Table2[[#This Row],[FPts]])</f>
        <v>#N/A</v>
      </c>
      <c r="H67" s="8" t="e">
        <f>ABS(Table2[[#This Row],[E - FP/G]]-Table2[[#This Row],[FP/G]])</f>
        <v>#N/A</v>
      </c>
    </row>
    <row r="68" spans="1:8" x14ac:dyDescent="0.25">
      <c r="A68" t="s">
        <v>164</v>
      </c>
      <c r="B68" t="s">
        <v>165</v>
      </c>
      <c r="C68" t="e">
        <f>VLOOKUP(A68,'Overall Results'!$B$2:$I$543,9,FALSE)</f>
        <v>#REF!</v>
      </c>
      <c r="D68" t="e">
        <f>VLOOKUP(A68,'Overall Results'!$B$2:$I$543,10,FALSE)</f>
        <v>#REF!</v>
      </c>
      <c r="E68" s="3">
        <v>449.85</v>
      </c>
      <c r="F68" s="3">
        <v>5.49</v>
      </c>
      <c r="G68" s="8" t="e">
        <f>ABS(Table2[[#This Row],[E - FPts]]-Table2[[#This Row],[FPts]])</f>
        <v>#REF!</v>
      </c>
      <c r="H68" s="8" t="e">
        <f>ABS(Table2[[#This Row],[E - FP/G]]-Table2[[#This Row],[FP/G]])</f>
        <v>#REF!</v>
      </c>
    </row>
    <row r="69" spans="1:8" x14ac:dyDescent="0.25">
      <c r="A69" t="s">
        <v>1439</v>
      </c>
      <c r="B69" t="s">
        <v>1440</v>
      </c>
      <c r="C69" t="e">
        <f>VLOOKUP(A69,'Overall Results'!$B$2:$I$543,9,FALSE)</f>
        <v>#N/A</v>
      </c>
      <c r="D69" t="e">
        <f>VLOOKUP(A69,'Overall Results'!$B$2:$I$543,10,FALSE)</f>
        <v>#N/A</v>
      </c>
      <c r="E69" s="3">
        <v>0</v>
      </c>
      <c r="F69" s="3">
        <v>0</v>
      </c>
      <c r="G69" s="8" t="e">
        <f>ABS(Table2[[#This Row],[E - FPts]]-Table2[[#This Row],[FPts]])</f>
        <v>#N/A</v>
      </c>
      <c r="H69" s="8" t="e">
        <f>ABS(Table2[[#This Row],[E - FP/G]]-Table2[[#This Row],[FP/G]])</f>
        <v>#N/A</v>
      </c>
    </row>
    <row r="70" spans="1:8" x14ac:dyDescent="0.25">
      <c r="A70" t="s">
        <v>1087</v>
      </c>
      <c r="B70" t="s">
        <v>1088</v>
      </c>
      <c r="C70" t="e">
        <f>VLOOKUP(A70,'Overall Results'!$B$2:$I$543,9,FALSE)</f>
        <v>#REF!</v>
      </c>
      <c r="D70" t="e">
        <f>VLOOKUP(A70,'Overall Results'!$B$2:$I$543,10,FALSE)</f>
        <v>#REF!</v>
      </c>
      <c r="E70" s="3">
        <v>61.15</v>
      </c>
      <c r="F70" s="3">
        <v>2.91</v>
      </c>
      <c r="G70" s="8" t="e">
        <f>ABS(Table2[[#This Row],[E - FPts]]-Table2[[#This Row],[FPts]])</f>
        <v>#REF!</v>
      </c>
      <c r="H70" s="8" t="e">
        <f>ABS(Table2[[#This Row],[E - FP/G]]-Table2[[#This Row],[FP/G]])</f>
        <v>#REF!</v>
      </c>
    </row>
    <row r="71" spans="1:8" x14ac:dyDescent="0.25">
      <c r="A71" t="s">
        <v>1441</v>
      </c>
      <c r="B71" t="s">
        <v>1442</v>
      </c>
      <c r="C71" t="e">
        <f>VLOOKUP(A71,'Overall Results'!$B$2:$I$543,9,FALSE)</f>
        <v>#N/A</v>
      </c>
      <c r="D71" t="e">
        <f>VLOOKUP(A71,'Overall Results'!$B$2:$I$543,10,FALSE)</f>
        <v>#N/A</v>
      </c>
      <c r="E71" s="3">
        <v>0</v>
      </c>
      <c r="F71" s="3">
        <v>0</v>
      </c>
      <c r="G71" s="8" t="e">
        <f>ABS(Table2[[#This Row],[E - FPts]]-Table2[[#This Row],[FPts]])</f>
        <v>#N/A</v>
      </c>
      <c r="H71" s="8" t="e">
        <f>ABS(Table2[[#This Row],[E - FP/G]]-Table2[[#This Row],[FP/G]])</f>
        <v>#N/A</v>
      </c>
    </row>
    <row r="72" spans="1:8" x14ac:dyDescent="0.25">
      <c r="A72" t="s">
        <v>1443</v>
      </c>
      <c r="B72" t="s">
        <v>1444</v>
      </c>
      <c r="C72" t="e">
        <f>VLOOKUP(A72,'Overall Results'!$B$2:$I$543,9,FALSE)</f>
        <v>#N/A</v>
      </c>
      <c r="D72" t="e">
        <f>VLOOKUP(A72,'Overall Results'!$B$2:$I$543,10,FALSE)</f>
        <v>#N/A</v>
      </c>
      <c r="E72" s="3">
        <v>0</v>
      </c>
      <c r="F72" s="3">
        <v>0</v>
      </c>
      <c r="G72" s="8" t="e">
        <f>ABS(Table2[[#This Row],[E - FPts]]-Table2[[#This Row],[FPts]])</f>
        <v>#N/A</v>
      </c>
      <c r="H72" s="8" t="e">
        <f>ABS(Table2[[#This Row],[E - FP/G]]-Table2[[#This Row],[FP/G]])</f>
        <v>#N/A</v>
      </c>
    </row>
    <row r="73" spans="1:8" x14ac:dyDescent="0.25">
      <c r="A73" t="s">
        <v>1445</v>
      </c>
      <c r="B73" t="s">
        <v>1446</v>
      </c>
      <c r="C73" t="e">
        <f>VLOOKUP(A73,'Overall Results'!$B$2:$I$543,9,FALSE)</f>
        <v>#N/A</v>
      </c>
      <c r="D73" t="e">
        <f>VLOOKUP(A73,'Overall Results'!$B$2:$I$543,10,FALSE)</f>
        <v>#N/A</v>
      </c>
      <c r="E73" s="3">
        <v>0</v>
      </c>
      <c r="F73" s="3">
        <v>0</v>
      </c>
      <c r="G73" s="8" t="e">
        <f>ABS(Table2[[#This Row],[E - FPts]]-Table2[[#This Row],[FPts]])</f>
        <v>#N/A</v>
      </c>
      <c r="H73" s="8" t="e">
        <f>ABS(Table2[[#This Row],[E - FP/G]]-Table2[[#This Row],[FP/G]])</f>
        <v>#N/A</v>
      </c>
    </row>
    <row r="74" spans="1:8" x14ac:dyDescent="0.25">
      <c r="A74" t="s">
        <v>381</v>
      </c>
      <c r="B74" t="s">
        <v>382</v>
      </c>
      <c r="C74" t="e">
        <f>VLOOKUP(A74,'Overall Results'!$B$2:$I$543,9,FALSE)</f>
        <v>#REF!</v>
      </c>
      <c r="D74" t="e">
        <f>VLOOKUP(A74,'Overall Results'!$B$2:$I$543,10,FALSE)</f>
        <v>#REF!</v>
      </c>
      <c r="E74" s="3">
        <v>159.85</v>
      </c>
      <c r="F74" s="3">
        <v>4.7</v>
      </c>
      <c r="G74" s="8" t="e">
        <f>ABS(Table2[[#This Row],[E - FPts]]-Table2[[#This Row],[FPts]])</f>
        <v>#REF!</v>
      </c>
      <c r="H74" s="8" t="e">
        <f>ABS(Table2[[#This Row],[E - FP/G]]-Table2[[#This Row],[FP/G]])</f>
        <v>#REF!</v>
      </c>
    </row>
    <row r="75" spans="1:8" x14ac:dyDescent="0.25">
      <c r="A75" t="s">
        <v>1447</v>
      </c>
      <c r="B75" t="s">
        <v>1448</v>
      </c>
      <c r="C75" t="e">
        <f>VLOOKUP(A75,'Overall Results'!$B$2:$I$543,9,FALSE)</f>
        <v>#N/A</v>
      </c>
      <c r="D75" t="e">
        <f>VLOOKUP(A75,'Overall Results'!$B$2:$I$543,10,FALSE)</f>
        <v>#N/A</v>
      </c>
      <c r="E75" s="3">
        <v>0</v>
      </c>
      <c r="F75" s="3">
        <v>0</v>
      </c>
      <c r="G75" s="8" t="e">
        <f>ABS(Table2[[#This Row],[E - FPts]]-Table2[[#This Row],[FPts]])</f>
        <v>#N/A</v>
      </c>
      <c r="H75" s="8" t="e">
        <f>ABS(Table2[[#This Row],[E - FP/G]]-Table2[[#This Row],[FP/G]])</f>
        <v>#N/A</v>
      </c>
    </row>
    <row r="76" spans="1:8" x14ac:dyDescent="0.25">
      <c r="A76" t="s">
        <v>1449</v>
      </c>
      <c r="B76" t="s">
        <v>1450</v>
      </c>
      <c r="C76" t="e">
        <f>VLOOKUP(A76,'Overall Results'!$B$2:$I$543,9,FALSE)</f>
        <v>#N/A</v>
      </c>
      <c r="D76" t="e">
        <f>VLOOKUP(A76,'Overall Results'!$B$2:$I$543,10,FALSE)</f>
        <v>#N/A</v>
      </c>
      <c r="E76" s="3">
        <v>0</v>
      </c>
      <c r="F76" s="3">
        <v>0</v>
      </c>
      <c r="G76" s="8" t="e">
        <f>ABS(Table2[[#This Row],[E - FPts]]-Table2[[#This Row],[FPts]])</f>
        <v>#N/A</v>
      </c>
      <c r="H76" s="8" t="e">
        <f>ABS(Table2[[#This Row],[E - FP/G]]-Table2[[#This Row],[FP/G]])</f>
        <v>#N/A</v>
      </c>
    </row>
    <row r="77" spans="1:8" x14ac:dyDescent="0.25">
      <c r="A77" t="s">
        <v>1451</v>
      </c>
      <c r="B77" t="s">
        <v>1452</v>
      </c>
      <c r="C77" t="e">
        <f>VLOOKUP(A77,'Overall Results'!$B$2:$I$543,9,FALSE)</f>
        <v>#N/A</v>
      </c>
      <c r="D77" t="e">
        <f>VLOOKUP(A77,'Overall Results'!$B$2:$I$543,10,FALSE)</f>
        <v>#N/A</v>
      </c>
      <c r="E77" s="3">
        <v>0</v>
      </c>
      <c r="F77" s="3">
        <v>0</v>
      </c>
      <c r="G77" s="8" t="e">
        <f>ABS(Table2[[#This Row],[E - FPts]]-Table2[[#This Row],[FPts]])</f>
        <v>#N/A</v>
      </c>
      <c r="H77" s="8" t="e">
        <f>ABS(Table2[[#This Row],[E - FP/G]]-Table2[[#This Row],[FP/G]])</f>
        <v>#N/A</v>
      </c>
    </row>
    <row r="78" spans="1:8" x14ac:dyDescent="0.25">
      <c r="A78" t="s">
        <v>1453</v>
      </c>
      <c r="B78" t="s">
        <v>1454</v>
      </c>
      <c r="C78" t="e">
        <f>VLOOKUP(A78,'Overall Results'!$B$2:$I$543,9,FALSE)</f>
        <v>#N/A</v>
      </c>
      <c r="D78" t="e">
        <f>VLOOKUP(A78,'Overall Results'!$B$2:$I$543,10,FALSE)</f>
        <v>#N/A</v>
      </c>
      <c r="E78" s="3">
        <v>187.1</v>
      </c>
      <c r="F78" s="3">
        <v>2.6</v>
      </c>
      <c r="G78" s="8" t="e">
        <f>ABS(Table2[[#This Row],[E - FPts]]-Table2[[#This Row],[FPts]])</f>
        <v>#N/A</v>
      </c>
      <c r="H78" s="8" t="e">
        <f>ABS(Table2[[#This Row],[E - FP/G]]-Table2[[#This Row],[FP/G]])</f>
        <v>#N/A</v>
      </c>
    </row>
    <row r="79" spans="1:8" x14ac:dyDescent="0.25">
      <c r="A79" t="s">
        <v>1455</v>
      </c>
      <c r="B79" t="s">
        <v>1456</v>
      </c>
      <c r="C79" t="e">
        <f>VLOOKUP(A79,'Overall Results'!$B$2:$I$543,9,FALSE)</f>
        <v>#N/A</v>
      </c>
      <c r="D79" t="e">
        <f>VLOOKUP(A79,'Overall Results'!$B$2:$I$543,10,FALSE)</f>
        <v>#N/A</v>
      </c>
      <c r="E79" s="3">
        <v>0</v>
      </c>
      <c r="F79" s="3">
        <v>0</v>
      </c>
      <c r="G79" s="8" t="e">
        <f>ABS(Table2[[#This Row],[E - FPts]]-Table2[[#This Row],[FPts]])</f>
        <v>#N/A</v>
      </c>
      <c r="H79" s="8" t="e">
        <f>ABS(Table2[[#This Row],[E - FP/G]]-Table2[[#This Row],[FP/G]])</f>
        <v>#N/A</v>
      </c>
    </row>
    <row r="80" spans="1:8" x14ac:dyDescent="0.25">
      <c r="A80" t="s">
        <v>110</v>
      </c>
      <c r="B80" t="s">
        <v>111</v>
      </c>
      <c r="C80" t="e">
        <f>VLOOKUP(A80,'Overall Results'!$B$2:$I$543,9,FALSE)</f>
        <v>#REF!</v>
      </c>
      <c r="D80" t="e">
        <f>VLOOKUP(A80,'Overall Results'!$B$2:$I$543,10,FALSE)</f>
        <v>#REF!</v>
      </c>
      <c r="E80" s="3">
        <v>573.20000000000005</v>
      </c>
      <c r="F80" s="3">
        <v>6.99</v>
      </c>
      <c r="G80" s="8" t="e">
        <f>ABS(Table2[[#This Row],[E - FPts]]-Table2[[#This Row],[FPts]])</f>
        <v>#REF!</v>
      </c>
      <c r="H80" s="8" t="e">
        <f>ABS(Table2[[#This Row],[E - FP/G]]-Table2[[#This Row],[FP/G]])</f>
        <v>#REF!</v>
      </c>
    </row>
    <row r="81" spans="1:8" x14ac:dyDescent="0.25">
      <c r="A81" t="s">
        <v>1457</v>
      </c>
      <c r="B81" t="s">
        <v>1458</v>
      </c>
      <c r="C81" t="e">
        <f>VLOOKUP(A81,'Overall Results'!$B$2:$I$543,9,FALSE)</f>
        <v>#N/A</v>
      </c>
      <c r="D81" t="e">
        <f>VLOOKUP(A81,'Overall Results'!$B$2:$I$543,10,FALSE)</f>
        <v>#N/A</v>
      </c>
      <c r="E81" s="3">
        <v>0</v>
      </c>
      <c r="F81" s="3">
        <v>0</v>
      </c>
      <c r="G81" s="8" t="e">
        <f>ABS(Table2[[#This Row],[E - FPts]]-Table2[[#This Row],[FPts]])</f>
        <v>#N/A</v>
      </c>
      <c r="H81" s="8" t="e">
        <f>ABS(Table2[[#This Row],[E - FP/G]]-Table2[[#This Row],[FP/G]])</f>
        <v>#N/A</v>
      </c>
    </row>
    <row r="82" spans="1:8" x14ac:dyDescent="0.25">
      <c r="A82" t="s">
        <v>1459</v>
      </c>
      <c r="B82" t="s">
        <v>1460</v>
      </c>
      <c r="C82" t="e">
        <f>VLOOKUP(A82,'Overall Results'!$B$2:$I$543,9,FALSE)</f>
        <v>#N/A</v>
      </c>
      <c r="D82" t="e">
        <f>VLOOKUP(A82,'Overall Results'!$B$2:$I$543,10,FALSE)</f>
        <v>#N/A</v>
      </c>
      <c r="E82" s="3">
        <v>0</v>
      </c>
      <c r="F82" s="3">
        <v>0</v>
      </c>
      <c r="G82" s="8" t="e">
        <f>ABS(Table2[[#This Row],[E - FPts]]-Table2[[#This Row],[FPts]])</f>
        <v>#N/A</v>
      </c>
      <c r="H82" s="8" t="e">
        <f>ABS(Table2[[#This Row],[E - FP/G]]-Table2[[#This Row],[FP/G]])</f>
        <v>#N/A</v>
      </c>
    </row>
    <row r="83" spans="1:8" x14ac:dyDescent="0.25">
      <c r="A83" t="s">
        <v>1461</v>
      </c>
      <c r="B83" t="s">
        <v>1462</v>
      </c>
      <c r="C83" t="e">
        <f>VLOOKUP(A83,'Overall Results'!$B$2:$I$543,9,FALSE)</f>
        <v>#N/A</v>
      </c>
      <c r="D83" t="e">
        <f>VLOOKUP(A83,'Overall Results'!$B$2:$I$543,10,FALSE)</f>
        <v>#N/A</v>
      </c>
      <c r="E83" s="3">
        <v>0</v>
      </c>
      <c r="F83" s="3">
        <v>0</v>
      </c>
      <c r="G83" s="8" t="e">
        <f>ABS(Table2[[#This Row],[E - FPts]]-Table2[[#This Row],[FPts]])</f>
        <v>#N/A</v>
      </c>
      <c r="H83" s="8" t="e">
        <f>ABS(Table2[[#This Row],[E - FP/G]]-Table2[[#This Row],[FP/G]])</f>
        <v>#N/A</v>
      </c>
    </row>
    <row r="84" spans="1:8" x14ac:dyDescent="0.25">
      <c r="A84" t="s">
        <v>1463</v>
      </c>
      <c r="B84" t="s">
        <v>1464</v>
      </c>
      <c r="C84" t="e">
        <f>VLOOKUP(A84,'Overall Results'!$B$2:$I$543,9,FALSE)</f>
        <v>#N/A</v>
      </c>
      <c r="D84" t="e">
        <f>VLOOKUP(A84,'Overall Results'!$B$2:$I$543,10,FALSE)</f>
        <v>#N/A</v>
      </c>
      <c r="E84" s="3">
        <v>0</v>
      </c>
      <c r="F84" s="3">
        <v>0</v>
      </c>
      <c r="G84" s="8" t="e">
        <f>ABS(Table2[[#This Row],[E - FPts]]-Table2[[#This Row],[FPts]])</f>
        <v>#N/A</v>
      </c>
      <c r="H84" s="8" t="e">
        <f>ABS(Table2[[#This Row],[E - FP/G]]-Table2[[#This Row],[FP/G]])</f>
        <v>#N/A</v>
      </c>
    </row>
    <row r="85" spans="1:8" x14ac:dyDescent="0.25">
      <c r="A85" t="s">
        <v>1465</v>
      </c>
      <c r="B85" t="s">
        <v>1466</v>
      </c>
      <c r="C85" t="e">
        <f>VLOOKUP(A85,'Overall Results'!$B$2:$I$543,9,FALSE)</f>
        <v>#N/A</v>
      </c>
      <c r="D85" t="e">
        <f>VLOOKUP(A85,'Overall Results'!$B$2:$I$543,10,FALSE)</f>
        <v>#N/A</v>
      </c>
      <c r="E85" s="3">
        <v>0</v>
      </c>
      <c r="F85" s="3">
        <v>0</v>
      </c>
      <c r="G85" s="8" t="e">
        <f>ABS(Table2[[#This Row],[E - FPts]]-Table2[[#This Row],[FPts]])</f>
        <v>#N/A</v>
      </c>
      <c r="H85" s="8" t="e">
        <f>ABS(Table2[[#This Row],[E - FP/G]]-Table2[[#This Row],[FP/G]])</f>
        <v>#N/A</v>
      </c>
    </row>
    <row r="86" spans="1:8" x14ac:dyDescent="0.25">
      <c r="A86" t="s">
        <v>1467</v>
      </c>
      <c r="B86" t="s">
        <v>1468</v>
      </c>
      <c r="C86" t="e">
        <f>VLOOKUP(A86,'Overall Results'!$B$2:$I$543,9,FALSE)</f>
        <v>#N/A</v>
      </c>
      <c r="D86" t="e">
        <f>VLOOKUP(A86,'Overall Results'!$B$2:$I$543,10,FALSE)</f>
        <v>#N/A</v>
      </c>
      <c r="E86" s="3">
        <v>0</v>
      </c>
      <c r="F86" s="3">
        <v>0</v>
      </c>
      <c r="G86" s="8" t="e">
        <f>ABS(Table2[[#This Row],[E - FPts]]-Table2[[#This Row],[FPts]])</f>
        <v>#N/A</v>
      </c>
      <c r="H86" s="8" t="e">
        <f>ABS(Table2[[#This Row],[E - FP/G]]-Table2[[#This Row],[FP/G]])</f>
        <v>#N/A</v>
      </c>
    </row>
    <row r="87" spans="1:8" x14ac:dyDescent="0.25">
      <c r="A87" t="s">
        <v>1219</v>
      </c>
      <c r="B87" t="s">
        <v>1220</v>
      </c>
      <c r="C87" t="e">
        <f>VLOOKUP(A87,'Overall Results'!$B$2:$I$543,9,FALSE)</f>
        <v>#N/A</v>
      </c>
      <c r="D87" t="e">
        <f>VLOOKUP(A87,'Overall Results'!$B$2:$I$543,10,FALSE)</f>
        <v>#N/A</v>
      </c>
      <c r="E87" s="3">
        <v>34.1</v>
      </c>
      <c r="F87" s="3">
        <v>1.22</v>
      </c>
      <c r="G87" s="8" t="e">
        <f>ABS(Table2[[#This Row],[E - FPts]]-Table2[[#This Row],[FPts]])</f>
        <v>#N/A</v>
      </c>
      <c r="H87" s="8" t="e">
        <f>ABS(Table2[[#This Row],[E - FP/G]]-Table2[[#This Row],[FP/G]])</f>
        <v>#N/A</v>
      </c>
    </row>
    <row r="88" spans="1:8" x14ac:dyDescent="0.25">
      <c r="A88" t="s">
        <v>1469</v>
      </c>
      <c r="B88" t="s">
        <v>1470</v>
      </c>
      <c r="C88" t="e">
        <f>VLOOKUP(A88,'Overall Results'!$B$2:$I$543,9,FALSE)</f>
        <v>#N/A</v>
      </c>
      <c r="D88" t="e">
        <f>VLOOKUP(A88,'Overall Results'!$B$2:$I$543,10,FALSE)</f>
        <v>#N/A</v>
      </c>
      <c r="E88" s="3">
        <v>0</v>
      </c>
      <c r="F88" s="3">
        <v>0</v>
      </c>
      <c r="G88" s="8" t="e">
        <f>ABS(Table2[[#This Row],[E - FPts]]-Table2[[#This Row],[FPts]])</f>
        <v>#N/A</v>
      </c>
      <c r="H88" s="8" t="e">
        <f>ABS(Table2[[#This Row],[E - FP/G]]-Table2[[#This Row],[FP/G]])</f>
        <v>#N/A</v>
      </c>
    </row>
    <row r="89" spans="1:8" x14ac:dyDescent="0.25">
      <c r="A89" t="s">
        <v>719</v>
      </c>
      <c r="B89" t="s">
        <v>720</v>
      </c>
      <c r="C89" t="e">
        <f>VLOOKUP(A89,'Overall Results'!$B$2:$I$543,9,FALSE)</f>
        <v>#REF!</v>
      </c>
      <c r="D89" t="e">
        <f>VLOOKUP(A89,'Overall Results'!$B$2:$I$543,10,FALSE)</f>
        <v>#REF!</v>
      </c>
      <c r="E89" s="3">
        <v>180.5</v>
      </c>
      <c r="F89" s="3">
        <v>3.01</v>
      </c>
      <c r="G89" s="8" t="e">
        <f>ABS(Table2[[#This Row],[E - FPts]]-Table2[[#This Row],[FPts]])</f>
        <v>#REF!</v>
      </c>
      <c r="H89" s="8" t="e">
        <f>ABS(Table2[[#This Row],[E - FP/G]]-Table2[[#This Row],[FP/G]])</f>
        <v>#REF!</v>
      </c>
    </row>
    <row r="90" spans="1:8" x14ac:dyDescent="0.25">
      <c r="A90" t="s">
        <v>1471</v>
      </c>
      <c r="B90" t="s">
        <v>1472</v>
      </c>
      <c r="C90" t="e">
        <f>VLOOKUP(A90,'Overall Results'!$B$2:$I$543,9,FALSE)</f>
        <v>#N/A</v>
      </c>
      <c r="D90" t="e">
        <f>VLOOKUP(A90,'Overall Results'!$B$2:$I$543,10,FALSE)</f>
        <v>#N/A</v>
      </c>
      <c r="E90" s="3">
        <v>0</v>
      </c>
      <c r="F90" s="3">
        <v>0</v>
      </c>
      <c r="G90" s="8" t="e">
        <f>ABS(Table2[[#This Row],[E - FPts]]-Table2[[#This Row],[FPts]])</f>
        <v>#N/A</v>
      </c>
      <c r="H90" s="8" t="e">
        <f>ABS(Table2[[#This Row],[E - FP/G]]-Table2[[#This Row],[FP/G]])</f>
        <v>#N/A</v>
      </c>
    </row>
    <row r="91" spans="1:8" x14ac:dyDescent="0.25">
      <c r="A91" t="s">
        <v>309</v>
      </c>
      <c r="B91" t="s">
        <v>310</v>
      </c>
      <c r="C91" t="e">
        <f>VLOOKUP(A91,'Overall Results'!$B$2:$I$543,9,FALSE)</f>
        <v>#REF!</v>
      </c>
      <c r="D91" t="e">
        <f>VLOOKUP(A91,'Overall Results'!$B$2:$I$543,10,FALSE)</f>
        <v>#REF!</v>
      </c>
      <c r="E91" s="3">
        <v>400.75</v>
      </c>
      <c r="F91" s="3">
        <v>5.07</v>
      </c>
      <c r="G91" s="8" t="e">
        <f>ABS(Table2[[#This Row],[E - FPts]]-Table2[[#This Row],[FPts]])</f>
        <v>#REF!</v>
      </c>
      <c r="H91" s="8" t="e">
        <f>ABS(Table2[[#This Row],[E - FP/G]]-Table2[[#This Row],[FP/G]])</f>
        <v>#REF!</v>
      </c>
    </row>
    <row r="92" spans="1:8" x14ac:dyDescent="0.25">
      <c r="A92" t="s">
        <v>1473</v>
      </c>
      <c r="B92" t="s">
        <v>1474</v>
      </c>
      <c r="C92" t="e">
        <f>VLOOKUP(A92,'Overall Results'!$B$2:$I$543,9,FALSE)</f>
        <v>#N/A</v>
      </c>
      <c r="D92" t="e">
        <f>VLOOKUP(A92,'Overall Results'!$B$2:$I$543,10,FALSE)</f>
        <v>#N/A</v>
      </c>
      <c r="E92" s="3">
        <v>0</v>
      </c>
      <c r="F92" s="3">
        <v>0</v>
      </c>
      <c r="G92" s="8" t="e">
        <f>ABS(Table2[[#This Row],[E - FPts]]-Table2[[#This Row],[FPts]])</f>
        <v>#N/A</v>
      </c>
      <c r="H92" s="8" t="e">
        <f>ABS(Table2[[#This Row],[E - FP/G]]-Table2[[#This Row],[FP/G]])</f>
        <v>#N/A</v>
      </c>
    </row>
    <row r="93" spans="1:8" x14ac:dyDescent="0.25">
      <c r="A93" t="s">
        <v>1475</v>
      </c>
      <c r="B93" t="s">
        <v>1476</v>
      </c>
      <c r="C93" t="e">
        <f>VLOOKUP(A93,'Overall Results'!$B$2:$I$543,9,FALSE)</f>
        <v>#N/A</v>
      </c>
      <c r="D93" t="e">
        <f>VLOOKUP(A93,'Overall Results'!$B$2:$I$543,10,FALSE)</f>
        <v>#N/A</v>
      </c>
      <c r="E93" s="3">
        <v>0</v>
      </c>
      <c r="F93" s="3">
        <v>0</v>
      </c>
      <c r="G93" s="8" t="e">
        <f>ABS(Table2[[#This Row],[E - FPts]]-Table2[[#This Row],[FPts]])</f>
        <v>#N/A</v>
      </c>
      <c r="H93" s="8" t="e">
        <f>ABS(Table2[[#This Row],[E - FP/G]]-Table2[[#This Row],[FP/G]])</f>
        <v>#N/A</v>
      </c>
    </row>
    <row r="94" spans="1:8" x14ac:dyDescent="0.25">
      <c r="A94" t="s">
        <v>1477</v>
      </c>
      <c r="B94" t="s">
        <v>1478</v>
      </c>
      <c r="C94" t="e">
        <f>VLOOKUP(A94,'Overall Results'!$B$2:$I$543,9,FALSE)</f>
        <v>#N/A</v>
      </c>
      <c r="D94" t="e">
        <f>VLOOKUP(A94,'Overall Results'!$B$2:$I$543,10,FALSE)</f>
        <v>#N/A</v>
      </c>
      <c r="E94" s="3">
        <v>0</v>
      </c>
      <c r="F94" s="3">
        <v>0</v>
      </c>
      <c r="G94" s="8" t="e">
        <f>ABS(Table2[[#This Row],[E - FPts]]-Table2[[#This Row],[FPts]])</f>
        <v>#N/A</v>
      </c>
      <c r="H94" s="8" t="e">
        <f>ABS(Table2[[#This Row],[E - FP/G]]-Table2[[#This Row],[FP/G]])</f>
        <v>#N/A</v>
      </c>
    </row>
    <row r="95" spans="1:8" x14ac:dyDescent="0.25">
      <c r="A95" t="s">
        <v>755</v>
      </c>
      <c r="B95" t="s">
        <v>756</v>
      </c>
      <c r="C95" t="e">
        <f>VLOOKUP(A95,'Overall Results'!$B$2:$I$543,9,FALSE)</f>
        <v>#REF!</v>
      </c>
      <c r="D95" t="e">
        <f>VLOOKUP(A95,'Overall Results'!$B$2:$I$543,10,FALSE)</f>
        <v>#REF!</v>
      </c>
      <c r="E95" s="3">
        <v>52.2</v>
      </c>
      <c r="F95" s="3">
        <v>3.26</v>
      </c>
      <c r="G95" s="8" t="e">
        <f>ABS(Table2[[#This Row],[E - FPts]]-Table2[[#This Row],[FPts]])</f>
        <v>#REF!</v>
      </c>
      <c r="H95" s="8" t="e">
        <f>ABS(Table2[[#This Row],[E - FP/G]]-Table2[[#This Row],[FP/G]])</f>
        <v>#REF!</v>
      </c>
    </row>
    <row r="96" spans="1:8" x14ac:dyDescent="0.25">
      <c r="A96" t="s">
        <v>417</v>
      </c>
      <c r="B96" t="s">
        <v>418</v>
      </c>
      <c r="C96" t="e">
        <f>VLOOKUP(A96,'Overall Results'!$B$2:$I$543,9,FALSE)</f>
        <v>#REF!</v>
      </c>
      <c r="D96" t="e">
        <f>VLOOKUP(A96,'Overall Results'!$B$2:$I$543,10,FALSE)</f>
        <v>#REF!</v>
      </c>
      <c r="E96" s="3">
        <v>427.8</v>
      </c>
      <c r="F96" s="3">
        <v>5.22</v>
      </c>
      <c r="G96" s="8" t="e">
        <f>ABS(Table2[[#This Row],[E - FPts]]-Table2[[#This Row],[FPts]])</f>
        <v>#REF!</v>
      </c>
      <c r="H96" s="8" t="e">
        <f>ABS(Table2[[#This Row],[E - FP/G]]-Table2[[#This Row],[FP/G]])</f>
        <v>#REF!</v>
      </c>
    </row>
    <row r="97" spans="1:8" x14ac:dyDescent="0.25">
      <c r="A97" t="s">
        <v>1479</v>
      </c>
      <c r="B97" t="s">
        <v>1480</v>
      </c>
      <c r="C97" t="e">
        <f>VLOOKUP(A97,'Overall Results'!$B$2:$I$543,9,FALSE)</f>
        <v>#N/A</v>
      </c>
      <c r="D97" t="e">
        <f>VLOOKUP(A97,'Overall Results'!$B$2:$I$543,10,FALSE)</f>
        <v>#N/A</v>
      </c>
      <c r="E97" s="3">
        <v>0</v>
      </c>
      <c r="F97" s="3">
        <v>0</v>
      </c>
      <c r="G97" s="8" t="e">
        <f>ABS(Table2[[#This Row],[E - FPts]]-Table2[[#This Row],[FPts]])</f>
        <v>#N/A</v>
      </c>
      <c r="H97" s="8" t="e">
        <f>ABS(Table2[[#This Row],[E - FP/G]]-Table2[[#This Row],[FP/G]])</f>
        <v>#N/A</v>
      </c>
    </row>
    <row r="98" spans="1:8" x14ac:dyDescent="0.25">
      <c r="A98" t="s">
        <v>1481</v>
      </c>
      <c r="B98" t="s">
        <v>1482</v>
      </c>
      <c r="C98" t="e">
        <f>VLOOKUP(A98,'Overall Results'!$B$2:$I$543,9,FALSE)</f>
        <v>#N/A</v>
      </c>
      <c r="D98" t="e">
        <f>VLOOKUP(A98,'Overall Results'!$B$2:$I$543,10,FALSE)</f>
        <v>#N/A</v>
      </c>
      <c r="E98" s="3">
        <v>0</v>
      </c>
      <c r="F98" s="3">
        <v>0</v>
      </c>
      <c r="G98" s="8" t="e">
        <f>ABS(Table2[[#This Row],[E - FPts]]-Table2[[#This Row],[FPts]])</f>
        <v>#N/A</v>
      </c>
      <c r="H98" s="8" t="e">
        <f>ABS(Table2[[#This Row],[E - FP/G]]-Table2[[#This Row],[FP/G]])</f>
        <v>#N/A</v>
      </c>
    </row>
    <row r="99" spans="1:8" x14ac:dyDescent="0.25">
      <c r="A99" t="s">
        <v>1483</v>
      </c>
      <c r="B99" t="s">
        <v>1484</v>
      </c>
      <c r="C99" t="e">
        <f>VLOOKUP(A99,'Overall Results'!$B$2:$I$543,9,FALSE)</f>
        <v>#N/A</v>
      </c>
      <c r="D99" t="e">
        <f>VLOOKUP(A99,'Overall Results'!$B$2:$I$543,10,FALSE)</f>
        <v>#N/A</v>
      </c>
      <c r="E99" s="3">
        <v>0</v>
      </c>
      <c r="F99" s="3">
        <v>0</v>
      </c>
      <c r="G99" s="8" t="e">
        <f>ABS(Table2[[#This Row],[E - FPts]]-Table2[[#This Row],[FPts]])</f>
        <v>#N/A</v>
      </c>
      <c r="H99" s="8" t="e">
        <f>ABS(Table2[[#This Row],[E - FP/G]]-Table2[[#This Row],[FP/G]])</f>
        <v>#N/A</v>
      </c>
    </row>
    <row r="100" spans="1:8" x14ac:dyDescent="0.25">
      <c r="A100" t="s">
        <v>1485</v>
      </c>
      <c r="B100" t="s">
        <v>1486</v>
      </c>
      <c r="C100" t="e">
        <f>VLOOKUP(A100,'Overall Results'!$B$2:$I$543,9,FALSE)</f>
        <v>#N/A</v>
      </c>
      <c r="D100" t="e">
        <f>VLOOKUP(A100,'Overall Results'!$B$2:$I$543,10,FALSE)</f>
        <v>#N/A</v>
      </c>
      <c r="E100" s="3">
        <v>0</v>
      </c>
      <c r="F100" s="3">
        <v>0</v>
      </c>
      <c r="G100" s="8" t="e">
        <f>ABS(Table2[[#This Row],[E - FPts]]-Table2[[#This Row],[FPts]])</f>
        <v>#N/A</v>
      </c>
      <c r="H100" s="8" t="e">
        <f>ABS(Table2[[#This Row],[E - FP/G]]-Table2[[#This Row],[FP/G]])</f>
        <v>#N/A</v>
      </c>
    </row>
    <row r="101" spans="1:8" x14ac:dyDescent="0.25">
      <c r="A101" t="s">
        <v>1487</v>
      </c>
      <c r="B101" t="s">
        <v>1488</v>
      </c>
      <c r="C101" t="e">
        <f>VLOOKUP(A101,'Overall Results'!$B$2:$I$543,9,FALSE)</f>
        <v>#N/A</v>
      </c>
      <c r="D101" t="e">
        <f>VLOOKUP(A101,'Overall Results'!$B$2:$I$543,10,FALSE)</f>
        <v>#N/A</v>
      </c>
      <c r="E101" s="3">
        <v>0</v>
      </c>
      <c r="F101" s="3">
        <v>0</v>
      </c>
      <c r="G101" s="8" t="e">
        <f>ABS(Table2[[#This Row],[E - FPts]]-Table2[[#This Row],[FPts]])</f>
        <v>#N/A</v>
      </c>
      <c r="H101" s="8" t="e">
        <f>ABS(Table2[[#This Row],[E - FP/G]]-Table2[[#This Row],[FP/G]])</f>
        <v>#N/A</v>
      </c>
    </row>
    <row r="102" spans="1:8" x14ac:dyDescent="0.25">
      <c r="A102" t="s">
        <v>1489</v>
      </c>
      <c r="B102" t="s">
        <v>1490</v>
      </c>
      <c r="C102" t="e">
        <f>VLOOKUP(A102,'Overall Results'!$B$2:$I$543,9,FALSE)</f>
        <v>#N/A</v>
      </c>
      <c r="D102" t="e">
        <f>VLOOKUP(A102,'Overall Results'!$B$2:$I$543,10,FALSE)</f>
        <v>#N/A</v>
      </c>
      <c r="E102" s="3">
        <v>0</v>
      </c>
      <c r="F102" s="3">
        <v>0</v>
      </c>
      <c r="G102" s="8" t="e">
        <f>ABS(Table2[[#This Row],[E - FPts]]-Table2[[#This Row],[FPts]])</f>
        <v>#N/A</v>
      </c>
      <c r="H102" s="8" t="e">
        <f>ABS(Table2[[#This Row],[E - FP/G]]-Table2[[#This Row],[FP/G]])</f>
        <v>#N/A</v>
      </c>
    </row>
    <row r="103" spans="1:8" x14ac:dyDescent="0.25">
      <c r="A103" t="s">
        <v>403</v>
      </c>
      <c r="B103" t="s">
        <v>404</v>
      </c>
      <c r="C103" t="e">
        <f>VLOOKUP(A103,'Overall Results'!$B$2:$I$543,9,FALSE)</f>
        <v>#REF!</v>
      </c>
      <c r="D103" t="e">
        <f>VLOOKUP(A103,'Overall Results'!$B$2:$I$543,10,FALSE)</f>
        <v>#REF!</v>
      </c>
      <c r="E103" s="3">
        <v>373.25</v>
      </c>
      <c r="F103" s="3">
        <v>4.55</v>
      </c>
      <c r="G103" s="8" t="e">
        <f>ABS(Table2[[#This Row],[E - FPts]]-Table2[[#This Row],[FPts]])</f>
        <v>#REF!</v>
      </c>
      <c r="H103" s="8" t="e">
        <f>ABS(Table2[[#This Row],[E - FP/G]]-Table2[[#This Row],[FP/G]])</f>
        <v>#REF!</v>
      </c>
    </row>
    <row r="104" spans="1:8" x14ac:dyDescent="0.25">
      <c r="A104" t="s">
        <v>469</v>
      </c>
      <c r="B104" t="s">
        <v>470</v>
      </c>
      <c r="C104" t="e">
        <f>VLOOKUP(A104,'Overall Results'!$B$2:$I$543,9,FALSE)</f>
        <v>#REF!</v>
      </c>
      <c r="D104" t="e">
        <f>VLOOKUP(A104,'Overall Results'!$B$2:$I$543,10,FALSE)</f>
        <v>#REF!</v>
      </c>
      <c r="E104" s="3">
        <v>293.2</v>
      </c>
      <c r="F104" s="3">
        <v>3.66</v>
      </c>
      <c r="G104" s="8" t="e">
        <f>ABS(Table2[[#This Row],[E - FPts]]-Table2[[#This Row],[FPts]])</f>
        <v>#REF!</v>
      </c>
      <c r="H104" s="8" t="e">
        <f>ABS(Table2[[#This Row],[E - FP/G]]-Table2[[#This Row],[FP/G]])</f>
        <v>#REF!</v>
      </c>
    </row>
    <row r="105" spans="1:8" x14ac:dyDescent="0.25">
      <c r="A105" t="s">
        <v>1314</v>
      </c>
      <c r="B105" t="s">
        <v>1315</v>
      </c>
      <c r="C105" t="e">
        <f>VLOOKUP(A105,'Overall Results'!$B$2:$I$543,9,FALSE)</f>
        <v>#N/A</v>
      </c>
      <c r="D105" t="e">
        <f>VLOOKUP(A105,'Overall Results'!$B$2:$I$543,10,FALSE)</f>
        <v>#N/A</v>
      </c>
      <c r="E105" s="3">
        <v>34.700000000000003</v>
      </c>
      <c r="F105" s="3">
        <v>1.93</v>
      </c>
      <c r="G105" s="8" t="e">
        <f>ABS(Table2[[#This Row],[E - FPts]]-Table2[[#This Row],[FPts]])</f>
        <v>#N/A</v>
      </c>
      <c r="H105" s="8" t="e">
        <f>ABS(Table2[[#This Row],[E - FP/G]]-Table2[[#This Row],[FP/G]])</f>
        <v>#N/A</v>
      </c>
    </row>
    <row r="106" spans="1:8" x14ac:dyDescent="0.25">
      <c r="A106" t="s">
        <v>611</v>
      </c>
      <c r="B106" t="s">
        <v>612</v>
      </c>
      <c r="C106" t="e">
        <f>VLOOKUP(A106,'Overall Results'!$B$2:$I$543,9,FALSE)</f>
        <v>#REF!</v>
      </c>
      <c r="D106" t="e">
        <f>VLOOKUP(A106,'Overall Results'!$B$2:$I$543,10,FALSE)</f>
        <v>#REF!</v>
      </c>
      <c r="E106" s="3">
        <v>180.7</v>
      </c>
      <c r="F106" s="3">
        <v>2.96</v>
      </c>
      <c r="G106" s="8" t="e">
        <f>ABS(Table2[[#This Row],[E - FPts]]-Table2[[#This Row],[FPts]])</f>
        <v>#REF!</v>
      </c>
      <c r="H106" s="8" t="e">
        <f>ABS(Table2[[#This Row],[E - FP/G]]-Table2[[#This Row],[FP/G]])</f>
        <v>#REF!</v>
      </c>
    </row>
    <row r="107" spans="1:8" x14ac:dyDescent="0.25">
      <c r="A107" t="s">
        <v>1491</v>
      </c>
      <c r="B107" t="s">
        <v>1492</v>
      </c>
      <c r="C107" t="e">
        <f>VLOOKUP(A107,'Overall Results'!$B$2:$I$543,9,FALSE)</f>
        <v>#N/A</v>
      </c>
      <c r="D107" t="e">
        <f>VLOOKUP(A107,'Overall Results'!$B$2:$I$543,10,FALSE)</f>
        <v>#N/A</v>
      </c>
      <c r="E107" s="3">
        <v>0</v>
      </c>
      <c r="F107" s="3">
        <v>0</v>
      </c>
      <c r="G107" s="8" t="e">
        <f>ABS(Table2[[#This Row],[E - FPts]]-Table2[[#This Row],[FPts]])</f>
        <v>#N/A</v>
      </c>
      <c r="H107" s="8" t="e">
        <f>ABS(Table2[[#This Row],[E - FP/G]]-Table2[[#This Row],[FP/G]])</f>
        <v>#N/A</v>
      </c>
    </row>
    <row r="108" spans="1:8" x14ac:dyDescent="0.25">
      <c r="A108" t="s">
        <v>829</v>
      </c>
      <c r="B108" t="s">
        <v>830</v>
      </c>
      <c r="C108" t="e">
        <f>VLOOKUP(A108,'Overall Results'!$B$2:$I$543,9,FALSE)</f>
        <v>#REF!</v>
      </c>
      <c r="D108" t="e">
        <f>VLOOKUP(A108,'Overall Results'!$B$2:$I$543,10,FALSE)</f>
        <v>#REF!</v>
      </c>
      <c r="E108" s="3">
        <v>165.05</v>
      </c>
      <c r="F108" s="3">
        <v>2.06</v>
      </c>
      <c r="G108" s="8" t="e">
        <f>ABS(Table2[[#This Row],[E - FPts]]-Table2[[#This Row],[FPts]])</f>
        <v>#REF!</v>
      </c>
      <c r="H108" s="8" t="e">
        <f>ABS(Table2[[#This Row],[E - FP/G]]-Table2[[#This Row],[FP/G]])</f>
        <v>#REF!</v>
      </c>
    </row>
    <row r="109" spans="1:8" x14ac:dyDescent="0.25">
      <c r="A109" t="s">
        <v>1493</v>
      </c>
      <c r="B109" t="s">
        <v>1494</v>
      </c>
      <c r="C109" t="e">
        <f>VLOOKUP(A109,'Overall Results'!$B$2:$I$543,9,FALSE)</f>
        <v>#N/A</v>
      </c>
      <c r="D109" t="e">
        <f>VLOOKUP(A109,'Overall Results'!$B$2:$I$543,10,FALSE)</f>
        <v>#N/A</v>
      </c>
      <c r="E109" s="3">
        <v>180.45</v>
      </c>
      <c r="F109" s="3">
        <v>2.73</v>
      </c>
      <c r="G109" s="8" t="e">
        <f>ABS(Table2[[#This Row],[E - FPts]]-Table2[[#This Row],[FPts]])</f>
        <v>#N/A</v>
      </c>
      <c r="H109" s="8" t="e">
        <f>ABS(Table2[[#This Row],[E - FP/G]]-Table2[[#This Row],[FP/G]])</f>
        <v>#N/A</v>
      </c>
    </row>
    <row r="110" spans="1:8" x14ac:dyDescent="0.25">
      <c r="A110" t="s">
        <v>76</v>
      </c>
      <c r="B110" t="s">
        <v>77</v>
      </c>
      <c r="C110" t="e">
        <f>VLOOKUP(A110,'Overall Results'!$B$2:$I$543,9,FALSE)</f>
        <v>#REF!</v>
      </c>
      <c r="D110" t="e">
        <f>VLOOKUP(A110,'Overall Results'!$B$2:$I$543,10,FALSE)</f>
        <v>#REF!</v>
      </c>
      <c r="E110" s="3">
        <v>695.6</v>
      </c>
      <c r="F110" s="3">
        <v>8.48</v>
      </c>
      <c r="G110" s="8" t="e">
        <f>ABS(Table2[[#This Row],[E - FPts]]-Table2[[#This Row],[FPts]])</f>
        <v>#REF!</v>
      </c>
      <c r="H110" s="8" t="e">
        <f>ABS(Table2[[#This Row],[E - FP/G]]-Table2[[#This Row],[FP/G]])</f>
        <v>#REF!</v>
      </c>
    </row>
    <row r="111" spans="1:8" x14ac:dyDescent="0.25">
      <c r="A111" t="s">
        <v>1045</v>
      </c>
      <c r="B111" t="s">
        <v>1046</v>
      </c>
      <c r="C111" t="e">
        <f>VLOOKUP(A111,'Overall Results'!$B$2:$I$543,9,FALSE)</f>
        <v>#N/A</v>
      </c>
      <c r="D111" t="e">
        <f>VLOOKUP(A111,'Overall Results'!$B$2:$I$543,10,FALSE)</f>
        <v>#N/A</v>
      </c>
      <c r="E111" s="3">
        <v>36.299999999999997</v>
      </c>
      <c r="F111" s="3">
        <v>1.51</v>
      </c>
      <c r="G111" s="8" t="e">
        <f>ABS(Table2[[#This Row],[E - FPts]]-Table2[[#This Row],[FPts]])</f>
        <v>#N/A</v>
      </c>
      <c r="H111" s="8" t="e">
        <f>ABS(Table2[[#This Row],[E - FP/G]]-Table2[[#This Row],[FP/G]])</f>
        <v>#N/A</v>
      </c>
    </row>
    <row r="112" spans="1:8" x14ac:dyDescent="0.25">
      <c r="A112" t="s">
        <v>137</v>
      </c>
      <c r="B112" t="s">
        <v>138</v>
      </c>
      <c r="C112" t="e">
        <f>VLOOKUP(A112,'Overall Results'!$B$2:$I$543,9,FALSE)</f>
        <v>#REF!</v>
      </c>
      <c r="D112" t="e">
        <f>VLOOKUP(A112,'Overall Results'!$B$2:$I$543,10,FALSE)</f>
        <v>#REF!</v>
      </c>
      <c r="E112" s="3">
        <v>486.95</v>
      </c>
      <c r="F112" s="3">
        <v>6.86</v>
      </c>
      <c r="G112" s="8" t="e">
        <f>ABS(Table2[[#This Row],[E - FPts]]-Table2[[#This Row],[FPts]])</f>
        <v>#REF!</v>
      </c>
      <c r="H112" s="8" t="e">
        <f>ABS(Table2[[#This Row],[E - FP/G]]-Table2[[#This Row],[FP/G]])</f>
        <v>#REF!</v>
      </c>
    </row>
    <row r="113" spans="1:8" x14ac:dyDescent="0.25">
      <c r="A113" t="s">
        <v>66</v>
      </c>
      <c r="B113" t="s">
        <v>67</v>
      </c>
      <c r="C113" t="e">
        <f>VLOOKUP(A113,'Overall Results'!$B$2:$I$543,9,FALSE)</f>
        <v>#REF!</v>
      </c>
      <c r="D113" t="e">
        <f>VLOOKUP(A113,'Overall Results'!$B$2:$I$543,10,FALSE)</f>
        <v>#REF!</v>
      </c>
      <c r="E113" s="3">
        <v>684.4</v>
      </c>
      <c r="F113" s="3">
        <v>8.4499999999999993</v>
      </c>
      <c r="G113" s="8" t="e">
        <f>ABS(Table2[[#This Row],[E - FPts]]-Table2[[#This Row],[FPts]])</f>
        <v>#REF!</v>
      </c>
      <c r="H113" s="8" t="e">
        <f>ABS(Table2[[#This Row],[E - FP/G]]-Table2[[#This Row],[FP/G]])</f>
        <v>#REF!</v>
      </c>
    </row>
    <row r="114" spans="1:8" x14ac:dyDescent="0.25">
      <c r="A114" t="s">
        <v>118</v>
      </c>
      <c r="B114" t="s">
        <v>119</v>
      </c>
      <c r="C114" t="e">
        <f>VLOOKUP(A114,'Overall Results'!$B$2:$I$543,9,FALSE)</f>
        <v>#REF!</v>
      </c>
      <c r="D114" t="e">
        <f>VLOOKUP(A114,'Overall Results'!$B$2:$I$543,10,FALSE)</f>
        <v>#REF!</v>
      </c>
      <c r="E114" s="3">
        <v>391.7</v>
      </c>
      <c r="F114" s="3">
        <v>5.29</v>
      </c>
      <c r="G114" s="8" t="e">
        <f>ABS(Table2[[#This Row],[E - FPts]]-Table2[[#This Row],[FPts]])</f>
        <v>#REF!</v>
      </c>
      <c r="H114" s="8" t="e">
        <f>ABS(Table2[[#This Row],[E - FP/G]]-Table2[[#This Row],[FP/G]])</f>
        <v>#REF!</v>
      </c>
    </row>
    <row r="115" spans="1:8" x14ac:dyDescent="0.25">
      <c r="A115" t="s">
        <v>909</v>
      </c>
      <c r="B115" t="s">
        <v>910</v>
      </c>
      <c r="C115" t="e">
        <f>VLOOKUP(A115,'Overall Results'!$B$2:$I$543,9,FALSE)</f>
        <v>#REF!</v>
      </c>
      <c r="D115" t="e">
        <f>VLOOKUP(A115,'Overall Results'!$B$2:$I$543,10,FALSE)</f>
        <v>#REF!</v>
      </c>
      <c r="E115" s="3">
        <v>181.3</v>
      </c>
      <c r="F115" s="3">
        <v>2.67</v>
      </c>
      <c r="G115" s="8" t="e">
        <f>ABS(Table2[[#This Row],[E - FPts]]-Table2[[#This Row],[FPts]])</f>
        <v>#REF!</v>
      </c>
      <c r="H115" s="8" t="e">
        <f>ABS(Table2[[#This Row],[E - FP/G]]-Table2[[#This Row],[FP/G]])</f>
        <v>#REF!</v>
      </c>
    </row>
    <row r="116" spans="1:8" x14ac:dyDescent="0.25">
      <c r="A116" t="s">
        <v>1495</v>
      </c>
      <c r="B116" t="s">
        <v>1496</v>
      </c>
      <c r="C116" t="e">
        <f>VLOOKUP(A116,'Overall Results'!$B$2:$I$543,9,FALSE)</f>
        <v>#N/A</v>
      </c>
      <c r="D116" t="e">
        <f>VLOOKUP(A116,'Overall Results'!$B$2:$I$543,10,FALSE)</f>
        <v>#N/A</v>
      </c>
      <c r="E116" s="3">
        <v>139.19999999999999</v>
      </c>
      <c r="F116" s="3">
        <v>2.36</v>
      </c>
      <c r="G116" s="8" t="e">
        <f>ABS(Table2[[#This Row],[E - FPts]]-Table2[[#This Row],[FPts]])</f>
        <v>#N/A</v>
      </c>
      <c r="H116" s="8" t="e">
        <f>ABS(Table2[[#This Row],[E - FP/G]]-Table2[[#This Row],[FP/G]])</f>
        <v>#N/A</v>
      </c>
    </row>
    <row r="117" spans="1:8" x14ac:dyDescent="0.25">
      <c r="A117" t="s">
        <v>1497</v>
      </c>
      <c r="B117" t="s">
        <v>1498</v>
      </c>
      <c r="C117" t="e">
        <f>VLOOKUP(A117,'Overall Results'!$B$2:$I$543,9,FALSE)</f>
        <v>#N/A</v>
      </c>
      <c r="D117" t="e">
        <f>VLOOKUP(A117,'Overall Results'!$B$2:$I$543,10,FALSE)</f>
        <v>#N/A</v>
      </c>
      <c r="E117" s="3">
        <v>0</v>
      </c>
      <c r="F117" s="3">
        <v>0</v>
      </c>
      <c r="G117" s="8" t="e">
        <f>ABS(Table2[[#This Row],[E - FPts]]-Table2[[#This Row],[FPts]])</f>
        <v>#N/A</v>
      </c>
      <c r="H117" s="8" t="e">
        <f>ABS(Table2[[#This Row],[E - FP/G]]-Table2[[#This Row],[FP/G]])</f>
        <v>#N/A</v>
      </c>
    </row>
    <row r="118" spans="1:8" x14ac:dyDescent="0.25">
      <c r="A118" t="s">
        <v>599</v>
      </c>
      <c r="B118" t="s">
        <v>600</v>
      </c>
      <c r="C118" t="e">
        <f>VLOOKUP(A118,'Overall Results'!$B$2:$I$543,9,FALSE)</f>
        <v>#REF!</v>
      </c>
      <c r="D118" t="e">
        <f>VLOOKUP(A118,'Overall Results'!$B$2:$I$543,10,FALSE)</f>
        <v>#REF!</v>
      </c>
      <c r="E118" s="3">
        <v>255.2</v>
      </c>
      <c r="F118" s="3">
        <v>3.27</v>
      </c>
      <c r="G118" s="8" t="e">
        <f>ABS(Table2[[#This Row],[E - FPts]]-Table2[[#This Row],[FPts]])</f>
        <v>#REF!</v>
      </c>
      <c r="H118" s="8" t="e">
        <f>ABS(Table2[[#This Row],[E - FP/G]]-Table2[[#This Row],[FP/G]])</f>
        <v>#REF!</v>
      </c>
    </row>
    <row r="119" spans="1:8" x14ac:dyDescent="0.25">
      <c r="A119" t="s">
        <v>899</v>
      </c>
      <c r="B119" t="s">
        <v>900</v>
      </c>
      <c r="C119" t="e">
        <f>VLOOKUP(A119,'Overall Results'!$B$2:$I$543,9,FALSE)</f>
        <v>#N/A</v>
      </c>
      <c r="D119" t="e">
        <f>VLOOKUP(A119,'Overall Results'!$B$2:$I$543,10,FALSE)</f>
        <v>#N/A</v>
      </c>
      <c r="E119" s="3">
        <v>120.6</v>
      </c>
      <c r="F119" s="3">
        <v>2.62</v>
      </c>
      <c r="G119" s="8" t="e">
        <f>ABS(Table2[[#This Row],[E - FPts]]-Table2[[#This Row],[FPts]])</f>
        <v>#N/A</v>
      </c>
      <c r="H119" s="8" t="e">
        <f>ABS(Table2[[#This Row],[E - FP/G]]-Table2[[#This Row],[FP/G]])</f>
        <v>#N/A</v>
      </c>
    </row>
    <row r="120" spans="1:8" x14ac:dyDescent="0.25">
      <c r="A120" t="s">
        <v>1251</v>
      </c>
      <c r="B120" t="s">
        <v>1252</v>
      </c>
      <c r="C120" t="e">
        <f>VLOOKUP(A120,'Overall Results'!$B$2:$I$543,9,FALSE)</f>
        <v>#N/A</v>
      </c>
      <c r="D120" t="e">
        <f>VLOOKUP(A120,'Overall Results'!$B$2:$I$543,10,FALSE)</f>
        <v>#N/A</v>
      </c>
      <c r="E120" s="3">
        <v>57.5</v>
      </c>
      <c r="F120" s="3">
        <v>1.51</v>
      </c>
      <c r="G120" s="8" t="e">
        <f>ABS(Table2[[#This Row],[E - FPts]]-Table2[[#This Row],[FPts]])</f>
        <v>#N/A</v>
      </c>
      <c r="H120" s="8" t="e">
        <f>ABS(Table2[[#This Row],[E - FP/G]]-Table2[[#This Row],[FP/G]])</f>
        <v>#N/A</v>
      </c>
    </row>
    <row r="121" spans="1:8" x14ac:dyDescent="0.25">
      <c r="A121" t="s">
        <v>1229</v>
      </c>
      <c r="B121" t="s">
        <v>1230</v>
      </c>
      <c r="C121" t="e">
        <f>VLOOKUP(A121,'Overall Results'!$B$2:$I$543,9,FALSE)</f>
        <v>#N/A</v>
      </c>
      <c r="D121" t="e">
        <f>VLOOKUP(A121,'Overall Results'!$B$2:$I$543,10,FALSE)</f>
        <v>#N/A</v>
      </c>
      <c r="E121" s="3">
        <v>34.6</v>
      </c>
      <c r="F121" s="3">
        <v>1.57</v>
      </c>
      <c r="G121" s="8" t="e">
        <f>ABS(Table2[[#This Row],[E - FPts]]-Table2[[#This Row],[FPts]])</f>
        <v>#N/A</v>
      </c>
      <c r="H121" s="8" t="e">
        <f>ABS(Table2[[#This Row],[E - FP/G]]-Table2[[#This Row],[FP/G]])</f>
        <v>#N/A</v>
      </c>
    </row>
    <row r="122" spans="1:8" x14ac:dyDescent="0.25">
      <c r="A122" t="s">
        <v>226</v>
      </c>
      <c r="B122" t="s">
        <v>227</v>
      </c>
      <c r="C122" t="e">
        <f>VLOOKUP(A122,'Overall Results'!$B$2:$I$543,9,FALSE)</f>
        <v>#REF!</v>
      </c>
      <c r="D122" t="e">
        <f>VLOOKUP(A122,'Overall Results'!$B$2:$I$543,10,FALSE)</f>
        <v>#REF!</v>
      </c>
      <c r="E122" s="3">
        <v>453.2</v>
      </c>
      <c r="F122" s="3">
        <v>5.89</v>
      </c>
      <c r="G122" s="8" t="e">
        <f>ABS(Table2[[#This Row],[E - FPts]]-Table2[[#This Row],[FPts]])</f>
        <v>#REF!</v>
      </c>
      <c r="H122" s="8" t="e">
        <f>ABS(Table2[[#This Row],[E - FP/G]]-Table2[[#This Row],[FP/G]])</f>
        <v>#REF!</v>
      </c>
    </row>
    <row r="123" spans="1:8" x14ac:dyDescent="0.25">
      <c r="A123" t="s">
        <v>62</v>
      </c>
      <c r="B123" t="s">
        <v>63</v>
      </c>
      <c r="C123" t="e">
        <f>VLOOKUP(A123,'Overall Results'!$B$2:$I$543,9,FALSE)</f>
        <v>#REF!</v>
      </c>
      <c r="D123" t="e">
        <f>VLOOKUP(A123,'Overall Results'!$B$2:$I$543,10,FALSE)</f>
        <v>#REF!</v>
      </c>
      <c r="E123" s="3">
        <v>513.9</v>
      </c>
      <c r="F123" s="3">
        <v>6.27</v>
      </c>
      <c r="G123" s="8" t="e">
        <f>ABS(Table2[[#This Row],[E - FPts]]-Table2[[#This Row],[FPts]])</f>
        <v>#REF!</v>
      </c>
      <c r="H123" s="8" t="e">
        <f>ABS(Table2[[#This Row],[E - FP/G]]-Table2[[#This Row],[FP/G]])</f>
        <v>#REF!</v>
      </c>
    </row>
    <row r="124" spans="1:8" x14ac:dyDescent="0.25">
      <c r="A124" t="s">
        <v>194</v>
      </c>
      <c r="B124" t="s">
        <v>195</v>
      </c>
      <c r="C124" t="e">
        <f>VLOOKUP(A124,'Overall Results'!$B$2:$I$543,9,FALSE)</f>
        <v>#REF!</v>
      </c>
      <c r="D124" t="e">
        <f>VLOOKUP(A124,'Overall Results'!$B$2:$I$543,10,FALSE)</f>
        <v>#REF!</v>
      </c>
      <c r="E124" s="3">
        <v>321.60000000000002</v>
      </c>
      <c r="F124" s="3">
        <v>4.87</v>
      </c>
      <c r="G124" s="8" t="e">
        <f>ABS(Table2[[#This Row],[E - FPts]]-Table2[[#This Row],[FPts]])</f>
        <v>#REF!</v>
      </c>
      <c r="H124" s="8" t="e">
        <f>ABS(Table2[[#This Row],[E - FP/G]]-Table2[[#This Row],[FP/G]])</f>
        <v>#REF!</v>
      </c>
    </row>
    <row r="125" spans="1:8" x14ac:dyDescent="0.25">
      <c r="A125" t="s">
        <v>1237</v>
      </c>
      <c r="B125" t="s">
        <v>1238</v>
      </c>
      <c r="C125" t="e">
        <f>VLOOKUP(A125,'Overall Results'!$B$2:$I$543,9,FALSE)</f>
        <v>#N/A</v>
      </c>
      <c r="D125" t="e">
        <f>VLOOKUP(A125,'Overall Results'!$B$2:$I$543,10,FALSE)</f>
        <v>#N/A</v>
      </c>
      <c r="E125" s="3">
        <v>43.15</v>
      </c>
      <c r="F125" s="3">
        <v>1.44</v>
      </c>
      <c r="G125" s="8" t="e">
        <f>ABS(Table2[[#This Row],[E - FPts]]-Table2[[#This Row],[FPts]])</f>
        <v>#N/A</v>
      </c>
      <c r="H125" s="8" t="e">
        <f>ABS(Table2[[#This Row],[E - FP/G]]-Table2[[#This Row],[FP/G]])</f>
        <v>#N/A</v>
      </c>
    </row>
    <row r="126" spans="1:8" x14ac:dyDescent="0.25">
      <c r="A126" t="s">
        <v>947</v>
      </c>
      <c r="B126" t="s">
        <v>948</v>
      </c>
      <c r="C126" t="e">
        <f>VLOOKUP(A126,'Overall Results'!$B$2:$I$543,9,FALSE)</f>
        <v>#REF!</v>
      </c>
      <c r="D126" t="e">
        <f>VLOOKUP(A126,'Overall Results'!$B$2:$I$543,10,FALSE)</f>
        <v>#REF!</v>
      </c>
      <c r="E126" s="3">
        <v>196.1</v>
      </c>
      <c r="F126" s="3">
        <v>2.69</v>
      </c>
      <c r="G126" s="8" t="e">
        <f>ABS(Table2[[#This Row],[E - FPts]]-Table2[[#This Row],[FPts]])</f>
        <v>#REF!</v>
      </c>
      <c r="H126" s="8" t="e">
        <f>ABS(Table2[[#This Row],[E - FP/G]]-Table2[[#This Row],[FP/G]])</f>
        <v>#REF!</v>
      </c>
    </row>
    <row r="127" spans="1:8" x14ac:dyDescent="0.25">
      <c r="A127" t="s">
        <v>54</v>
      </c>
      <c r="B127" t="s">
        <v>55</v>
      </c>
      <c r="C127" t="e">
        <f>VLOOKUP(A127,'Overall Results'!$B$2:$I$543,9,FALSE)</f>
        <v>#REF!</v>
      </c>
      <c r="D127" t="e">
        <f>VLOOKUP(A127,'Overall Results'!$B$2:$I$543,10,FALSE)</f>
        <v>#REF!</v>
      </c>
      <c r="E127" s="3">
        <v>479.45</v>
      </c>
      <c r="F127" s="3">
        <v>7.38</v>
      </c>
      <c r="G127" s="8" t="e">
        <f>ABS(Table2[[#This Row],[E - FPts]]-Table2[[#This Row],[FPts]])</f>
        <v>#REF!</v>
      </c>
      <c r="H127" s="8" t="e">
        <f>ABS(Table2[[#This Row],[E - FP/G]]-Table2[[#This Row],[FP/G]])</f>
        <v>#REF!</v>
      </c>
    </row>
    <row r="128" spans="1:8" x14ac:dyDescent="0.25">
      <c r="A128" t="s">
        <v>601</v>
      </c>
      <c r="B128" t="s">
        <v>602</v>
      </c>
      <c r="C128" t="e">
        <f>VLOOKUP(A128,'Overall Results'!$B$2:$I$543,9,FALSE)</f>
        <v>#REF!</v>
      </c>
      <c r="D128" t="e">
        <f>VLOOKUP(A128,'Overall Results'!$B$2:$I$543,10,FALSE)</f>
        <v>#REF!</v>
      </c>
      <c r="E128" s="3">
        <v>275.85000000000002</v>
      </c>
      <c r="F128" s="3">
        <v>3.45</v>
      </c>
      <c r="G128" s="8" t="e">
        <f>ABS(Table2[[#This Row],[E - FPts]]-Table2[[#This Row],[FPts]])</f>
        <v>#REF!</v>
      </c>
      <c r="H128" s="8" t="e">
        <f>ABS(Table2[[#This Row],[E - FP/G]]-Table2[[#This Row],[FP/G]])</f>
        <v>#REF!</v>
      </c>
    </row>
    <row r="129" spans="1:8" x14ac:dyDescent="0.25">
      <c r="A129" t="s">
        <v>156</v>
      </c>
      <c r="B129" t="s">
        <v>157</v>
      </c>
      <c r="C129" t="e">
        <f>VLOOKUP(A129,'Overall Results'!$B$2:$I$543,9,FALSE)</f>
        <v>#REF!</v>
      </c>
      <c r="D129" t="e">
        <f>VLOOKUP(A129,'Overall Results'!$B$2:$I$543,10,FALSE)</f>
        <v>#REF!</v>
      </c>
      <c r="E129" s="3">
        <v>489.25</v>
      </c>
      <c r="F129" s="3">
        <v>5.97</v>
      </c>
      <c r="G129" s="8" t="e">
        <f>ABS(Table2[[#This Row],[E - FPts]]-Table2[[#This Row],[FPts]])</f>
        <v>#REF!</v>
      </c>
      <c r="H129" s="8" t="e">
        <f>ABS(Table2[[#This Row],[E - FP/G]]-Table2[[#This Row],[FP/G]])</f>
        <v>#REF!</v>
      </c>
    </row>
    <row r="130" spans="1:8" x14ac:dyDescent="0.25">
      <c r="A130" t="s">
        <v>126</v>
      </c>
      <c r="B130" t="s">
        <v>127</v>
      </c>
      <c r="C130" t="e">
        <f>VLOOKUP(A130,'Overall Results'!$B$2:$I$543,9,FALSE)</f>
        <v>#REF!</v>
      </c>
      <c r="D130" t="e">
        <f>VLOOKUP(A130,'Overall Results'!$B$2:$I$543,10,FALSE)</f>
        <v>#REF!</v>
      </c>
      <c r="E130" s="3">
        <v>467.8</v>
      </c>
      <c r="F130" s="3">
        <v>5.92</v>
      </c>
      <c r="G130" s="8" t="e">
        <f>ABS(Table2[[#This Row],[E - FPts]]-Table2[[#This Row],[FPts]])</f>
        <v>#REF!</v>
      </c>
      <c r="H130" s="8" t="e">
        <f>ABS(Table2[[#This Row],[E - FP/G]]-Table2[[#This Row],[FP/G]])</f>
        <v>#REF!</v>
      </c>
    </row>
    <row r="131" spans="1:8" x14ac:dyDescent="0.25">
      <c r="A131" t="s">
        <v>701</v>
      </c>
      <c r="B131" t="s">
        <v>702</v>
      </c>
      <c r="C131" t="e">
        <f>VLOOKUP(A131,'Overall Results'!$B$2:$I$543,9,FALSE)</f>
        <v>#REF!</v>
      </c>
      <c r="D131" t="e">
        <f>VLOOKUP(A131,'Overall Results'!$B$2:$I$543,10,FALSE)</f>
        <v>#REF!</v>
      </c>
      <c r="E131" s="3">
        <v>260.8</v>
      </c>
      <c r="F131" s="3">
        <v>3.18</v>
      </c>
      <c r="G131" s="8" t="e">
        <f>ABS(Table2[[#This Row],[E - FPts]]-Table2[[#This Row],[FPts]])</f>
        <v>#REF!</v>
      </c>
      <c r="H131" s="8" t="e">
        <f>ABS(Table2[[#This Row],[E - FP/G]]-Table2[[#This Row],[FP/G]])</f>
        <v>#REF!</v>
      </c>
    </row>
    <row r="132" spans="1:8" x14ac:dyDescent="0.25">
      <c r="A132" t="s">
        <v>517</v>
      </c>
      <c r="B132" t="s">
        <v>518</v>
      </c>
      <c r="C132" t="e">
        <f>VLOOKUP(A132,'Overall Results'!$B$2:$I$543,9,FALSE)</f>
        <v>#REF!</v>
      </c>
      <c r="D132" t="e">
        <f>VLOOKUP(A132,'Overall Results'!$B$2:$I$543,10,FALSE)</f>
        <v>#REF!</v>
      </c>
      <c r="E132" s="3">
        <v>282.5</v>
      </c>
      <c r="F132" s="3">
        <v>3.49</v>
      </c>
      <c r="G132" s="8" t="e">
        <f>ABS(Table2[[#This Row],[E - FPts]]-Table2[[#This Row],[FPts]])</f>
        <v>#REF!</v>
      </c>
      <c r="H132" s="8" t="e">
        <f>ABS(Table2[[#This Row],[E - FP/G]]-Table2[[#This Row],[FP/G]])</f>
        <v>#REF!</v>
      </c>
    </row>
    <row r="133" spans="1:8" x14ac:dyDescent="0.25">
      <c r="A133" t="s">
        <v>1147</v>
      </c>
      <c r="B133" t="s">
        <v>1148</v>
      </c>
      <c r="C133" t="e">
        <f>VLOOKUP(A133,'Overall Results'!$B$2:$I$543,9,FALSE)</f>
        <v>#N/A</v>
      </c>
      <c r="D133" t="e">
        <f>VLOOKUP(A133,'Overall Results'!$B$2:$I$543,10,FALSE)</f>
        <v>#N/A</v>
      </c>
      <c r="E133" s="3">
        <v>4.45</v>
      </c>
      <c r="F133" s="3">
        <v>1.48</v>
      </c>
      <c r="G133" s="8" t="e">
        <f>ABS(Table2[[#This Row],[E - FPts]]-Table2[[#This Row],[FPts]])</f>
        <v>#N/A</v>
      </c>
      <c r="H133" s="8" t="e">
        <f>ABS(Table2[[#This Row],[E - FP/G]]-Table2[[#This Row],[FP/G]])</f>
        <v>#N/A</v>
      </c>
    </row>
    <row r="134" spans="1:8" x14ac:dyDescent="0.25">
      <c r="A134" t="s">
        <v>401</v>
      </c>
      <c r="B134" t="s">
        <v>402</v>
      </c>
      <c r="C134" t="e">
        <f>VLOOKUP(A134,'Overall Results'!$B$2:$I$543,9,FALSE)</f>
        <v>#REF!</v>
      </c>
      <c r="D134" t="e">
        <f>VLOOKUP(A134,'Overall Results'!$B$2:$I$543,10,FALSE)</f>
        <v>#REF!</v>
      </c>
      <c r="E134" s="3">
        <v>287.64999999999998</v>
      </c>
      <c r="F134" s="3">
        <v>4.79</v>
      </c>
      <c r="G134" s="8" t="e">
        <f>ABS(Table2[[#This Row],[E - FPts]]-Table2[[#This Row],[FPts]])</f>
        <v>#REF!</v>
      </c>
      <c r="H134" s="8" t="e">
        <f>ABS(Table2[[#This Row],[E - FP/G]]-Table2[[#This Row],[FP/G]])</f>
        <v>#REF!</v>
      </c>
    </row>
    <row r="135" spans="1:8" x14ac:dyDescent="0.25">
      <c r="A135" t="s">
        <v>1139</v>
      </c>
      <c r="B135" t="s">
        <v>1140</v>
      </c>
      <c r="C135" t="e">
        <f>VLOOKUP(A135,'Overall Results'!$B$2:$I$543,9,FALSE)</f>
        <v>#N/A</v>
      </c>
      <c r="D135" t="e">
        <f>VLOOKUP(A135,'Overall Results'!$B$2:$I$543,10,FALSE)</f>
        <v>#N/A</v>
      </c>
      <c r="E135" s="3">
        <v>102.55</v>
      </c>
      <c r="F135" s="3">
        <v>1.71</v>
      </c>
      <c r="G135" s="8" t="e">
        <f>ABS(Table2[[#This Row],[E - FPts]]-Table2[[#This Row],[FPts]])</f>
        <v>#N/A</v>
      </c>
      <c r="H135" s="8" t="e">
        <f>ABS(Table2[[#This Row],[E - FP/G]]-Table2[[#This Row],[FP/G]])</f>
        <v>#N/A</v>
      </c>
    </row>
    <row r="136" spans="1:8" x14ac:dyDescent="0.25">
      <c r="A136" t="s">
        <v>987</v>
      </c>
      <c r="B136" t="s">
        <v>988</v>
      </c>
      <c r="C136" t="e">
        <f>VLOOKUP(A136,'Overall Results'!$B$2:$I$543,9,FALSE)</f>
        <v>#REF!</v>
      </c>
      <c r="D136" t="e">
        <f>VLOOKUP(A136,'Overall Results'!$B$2:$I$543,10,FALSE)</f>
        <v>#REF!</v>
      </c>
      <c r="E136" s="3">
        <v>138.55000000000001</v>
      </c>
      <c r="F136" s="3">
        <v>2.2000000000000002</v>
      </c>
      <c r="G136" s="8" t="e">
        <f>ABS(Table2[[#This Row],[E - FPts]]-Table2[[#This Row],[FPts]])</f>
        <v>#REF!</v>
      </c>
      <c r="H136" s="8" t="e">
        <f>ABS(Table2[[#This Row],[E - FP/G]]-Table2[[#This Row],[FP/G]])</f>
        <v>#REF!</v>
      </c>
    </row>
    <row r="137" spans="1:8" x14ac:dyDescent="0.25">
      <c r="A137" t="s">
        <v>1201</v>
      </c>
      <c r="B137" t="s">
        <v>1202</v>
      </c>
      <c r="C137" t="e">
        <f>VLOOKUP(A137,'Overall Results'!$B$2:$I$543,9,FALSE)</f>
        <v>#N/A</v>
      </c>
      <c r="D137" t="e">
        <f>VLOOKUP(A137,'Overall Results'!$B$2:$I$543,10,FALSE)</f>
        <v>#N/A</v>
      </c>
      <c r="E137" s="3">
        <v>55.05</v>
      </c>
      <c r="F137" s="3">
        <v>1.9</v>
      </c>
      <c r="G137" s="8" t="e">
        <f>ABS(Table2[[#This Row],[E - FPts]]-Table2[[#This Row],[FPts]])</f>
        <v>#N/A</v>
      </c>
      <c r="H137" s="8" t="e">
        <f>ABS(Table2[[#This Row],[E - FP/G]]-Table2[[#This Row],[FP/G]])</f>
        <v>#N/A</v>
      </c>
    </row>
    <row r="138" spans="1:8" x14ac:dyDescent="0.25">
      <c r="A138" t="s">
        <v>837</v>
      </c>
      <c r="B138" t="s">
        <v>838</v>
      </c>
      <c r="C138" t="e">
        <f>VLOOKUP(A138,'Overall Results'!$B$2:$I$543,9,FALSE)</f>
        <v>#REF!</v>
      </c>
      <c r="D138" t="e">
        <f>VLOOKUP(A138,'Overall Results'!$B$2:$I$543,10,FALSE)</f>
        <v>#REF!</v>
      </c>
      <c r="E138" s="3">
        <v>172.95</v>
      </c>
      <c r="F138" s="3">
        <v>2.75</v>
      </c>
      <c r="G138" s="8" t="e">
        <f>ABS(Table2[[#This Row],[E - FPts]]-Table2[[#This Row],[FPts]])</f>
        <v>#REF!</v>
      </c>
      <c r="H138" s="8" t="e">
        <f>ABS(Table2[[#This Row],[E - FP/G]]-Table2[[#This Row],[FP/G]])</f>
        <v>#REF!</v>
      </c>
    </row>
    <row r="139" spans="1:8" x14ac:dyDescent="0.25">
      <c r="A139" t="s">
        <v>1499</v>
      </c>
      <c r="B139" t="s">
        <v>1500</v>
      </c>
      <c r="C139" t="e">
        <f>VLOOKUP(A139,'Overall Results'!$B$2:$I$543,9,FALSE)</f>
        <v>#N/A</v>
      </c>
      <c r="D139" t="e">
        <f>VLOOKUP(A139,'Overall Results'!$B$2:$I$543,10,FALSE)</f>
        <v>#N/A</v>
      </c>
      <c r="E139" s="3">
        <v>0</v>
      </c>
      <c r="F139" s="3">
        <v>0</v>
      </c>
      <c r="G139" s="8" t="e">
        <f>ABS(Table2[[#This Row],[E - FPts]]-Table2[[#This Row],[FPts]])</f>
        <v>#N/A</v>
      </c>
      <c r="H139" s="8" t="e">
        <f>ABS(Table2[[#This Row],[E - FP/G]]-Table2[[#This Row],[FP/G]])</f>
        <v>#N/A</v>
      </c>
    </row>
    <row r="140" spans="1:8" x14ac:dyDescent="0.25">
      <c r="A140" t="s">
        <v>993</v>
      </c>
      <c r="B140" t="s">
        <v>994</v>
      </c>
      <c r="C140" t="e">
        <f>VLOOKUP(A140,'Overall Results'!$B$2:$I$543,9,FALSE)</f>
        <v>#REF!</v>
      </c>
      <c r="D140" t="e">
        <f>VLOOKUP(A140,'Overall Results'!$B$2:$I$543,10,FALSE)</f>
        <v>#REF!</v>
      </c>
      <c r="E140" s="3">
        <v>135.35</v>
      </c>
      <c r="F140" s="3">
        <v>1.8</v>
      </c>
      <c r="G140" s="8" t="e">
        <f>ABS(Table2[[#This Row],[E - FPts]]-Table2[[#This Row],[FPts]])</f>
        <v>#REF!</v>
      </c>
      <c r="H140" s="8" t="e">
        <f>ABS(Table2[[#This Row],[E - FP/G]]-Table2[[#This Row],[FP/G]])</f>
        <v>#REF!</v>
      </c>
    </row>
    <row r="141" spans="1:8" x14ac:dyDescent="0.25">
      <c r="A141" t="s">
        <v>515</v>
      </c>
      <c r="B141" t="s">
        <v>516</v>
      </c>
      <c r="C141" t="e">
        <f>VLOOKUP(A141,'Overall Results'!$B$2:$I$543,9,FALSE)</f>
        <v>#REF!</v>
      </c>
      <c r="D141" t="e">
        <f>VLOOKUP(A141,'Overall Results'!$B$2:$I$543,10,FALSE)</f>
        <v>#REF!</v>
      </c>
      <c r="E141" s="3">
        <v>339.55</v>
      </c>
      <c r="F141" s="3">
        <v>4.8499999999999996</v>
      </c>
      <c r="G141" s="8" t="e">
        <f>ABS(Table2[[#This Row],[E - FPts]]-Table2[[#This Row],[FPts]])</f>
        <v>#REF!</v>
      </c>
      <c r="H141" s="8" t="e">
        <f>ABS(Table2[[#This Row],[E - FP/G]]-Table2[[#This Row],[FP/G]])</f>
        <v>#REF!</v>
      </c>
    </row>
    <row r="142" spans="1:8" x14ac:dyDescent="0.25">
      <c r="A142" t="s">
        <v>1133</v>
      </c>
      <c r="B142" t="s">
        <v>1134</v>
      </c>
      <c r="C142" t="e">
        <f>VLOOKUP(A142,'Overall Results'!$B$2:$I$543,9,FALSE)</f>
        <v>#N/A</v>
      </c>
      <c r="D142" t="e">
        <f>VLOOKUP(A142,'Overall Results'!$B$2:$I$543,10,FALSE)</f>
        <v>#N/A</v>
      </c>
      <c r="E142" s="3">
        <v>20.149999999999999</v>
      </c>
      <c r="F142" s="3">
        <v>1.55</v>
      </c>
      <c r="G142" s="8" t="e">
        <f>ABS(Table2[[#This Row],[E - FPts]]-Table2[[#This Row],[FPts]])</f>
        <v>#N/A</v>
      </c>
      <c r="H142" s="8" t="e">
        <f>ABS(Table2[[#This Row],[E - FP/G]]-Table2[[#This Row],[FP/G]])</f>
        <v>#N/A</v>
      </c>
    </row>
    <row r="143" spans="1:8" x14ac:dyDescent="0.25">
      <c r="A143" t="s">
        <v>979</v>
      </c>
      <c r="B143" t="s">
        <v>980</v>
      </c>
      <c r="C143" t="e">
        <f>VLOOKUP(A143,'Overall Results'!$B$2:$I$543,9,FALSE)</f>
        <v>#N/A</v>
      </c>
      <c r="D143" t="e">
        <f>VLOOKUP(A143,'Overall Results'!$B$2:$I$543,10,FALSE)</f>
        <v>#N/A</v>
      </c>
      <c r="E143" s="3">
        <v>83.55</v>
      </c>
      <c r="F143" s="3">
        <v>2.98</v>
      </c>
      <c r="G143" s="8" t="e">
        <f>ABS(Table2[[#This Row],[E - FPts]]-Table2[[#This Row],[FPts]])</f>
        <v>#N/A</v>
      </c>
      <c r="H143" s="8" t="e">
        <f>ABS(Table2[[#This Row],[E - FP/G]]-Table2[[#This Row],[FP/G]])</f>
        <v>#N/A</v>
      </c>
    </row>
    <row r="144" spans="1:8" x14ac:dyDescent="0.25">
      <c r="A144" t="s">
        <v>889</v>
      </c>
      <c r="B144" t="s">
        <v>890</v>
      </c>
      <c r="C144" t="e">
        <f>VLOOKUP(A144,'Overall Results'!$B$2:$I$543,9,FALSE)</f>
        <v>#N/A</v>
      </c>
      <c r="D144" t="e">
        <f>VLOOKUP(A144,'Overall Results'!$B$2:$I$543,10,FALSE)</f>
        <v>#N/A</v>
      </c>
      <c r="E144" s="3">
        <v>192.6</v>
      </c>
      <c r="F144" s="3">
        <v>3.06</v>
      </c>
      <c r="G144" s="8" t="e">
        <f>ABS(Table2[[#This Row],[E - FPts]]-Table2[[#This Row],[FPts]])</f>
        <v>#N/A</v>
      </c>
      <c r="H144" s="8" t="e">
        <f>ABS(Table2[[#This Row],[E - FP/G]]-Table2[[#This Row],[FP/G]])</f>
        <v>#N/A</v>
      </c>
    </row>
    <row r="145" spans="1:8" x14ac:dyDescent="0.25">
      <c r="A145" t="s">
        <v>1308</v>
      </c>
      <c r="B145" t="s">
        <v>1309</v>
      </c>
      <c r="C145" t="e">
        <f>VLOOKUP(A145,'Overall Results'!$B$2:$I$543,9,FALSE)</f>
        <v>#N/A</v>
      </c>
      <c r="D145" t="e">
        <f>VLOOKUP(A145,'Overall Results'!$B$2:$I$543,10,FALSE)</f>
        <v>#N/A</v>
      </c>
      <c r="E145" s="3">
        <v>33.25</v>
      </c>
      <c r="F145" s="3">
        <v>1.51</v>
      </c>
      <c r="G145" s="8" t="e">
        <f>ABS(Table2[[#This Row],[E - FPts]]-Table2[[#This Row],[FPts]])</f>
        <v>#N/A</v>
      </c>
      <c r="H145" s="8" t="e">
        <f>ABS(Table2[[#This Row],[E - FP/G]]-Table2[[#This Row],[FP/G]])</f>
        <v>#N/A</v>
      </c>
    </row>
    <row r="146" spans="1:8" x14ac:dyDescent="0.25">
      <c r="A146" t="s">
        <v>1143</v>
      </c>
      <c r="B146" t="s">
        <v>1144</v>
      </c>
      <c r="C146" t="e">
        <f>VLOOKUP(A146,'Overall Results'!$B$2:$I$543,9,FALSE)</f>
        <v>#N/A</v>
      </c>
      <c r="D146" t="e">
        <f>VLOOKUP(A146,'Overall Results'!$B$2:$I$543,10,FALSE)</f>
        <v>#N/A</v>
      </c>
      <c r="E146" s="3">
        <v>8</v>
      </c>
      <c r="F146" s="3">
        <v>1.33</v>
      </c>
      <c r="G146" s="8" t="e">
        <f>ABS(Table2[[#This Row],[E - FPts]]-Table2[[#This Row],[FPts]])</f>
        <v>#N/A</v>
      </c>
      <c r="H146" s="8" t="e">
        <f>ABS(Table2[[#This Row],[E - FP/G]]-Table2[[#This Row],[FP/G]])</f>
        <v>#N/A</v>
      </c>
    </row>
    <row r="147" spans="1:8" x14ac:dyDescent="0.25">
      <c r="A147" t="s">
        <v>359</v>
      </c>
      <c r="B147" t="s">
        <v>360</v>
      </c>
      <c r="C147" t="e">
        <f>VLOOKUP(A147,'Overall Results'!$B$2:$I$543,9,FALSE)</f>
        <v>#REF!</v>
      </c>
      <c r="D147" t="e">
        <f>VLOOKUP(A147,'Overall Results'!$B$2:$I$543,10,FALSE)</f>
        <v>#REF!</v>
      </c>
      <c r="E147" s="3">
        <v>363.85</v>
      </c>
      <c r="F147" s="3">
        <v>4.49</v>
      </c>
      <c r="G147" s="8" t="e">
        <f>ABS(Table2[[#This Row],[E - FPts]]-Table2[[#This Row],[FPts]])</f>
        <v>#REF!</v>
      </c>
      <c r="H147" s="8" t="e">
        <f>ABS(Table2[[#This Row],[E - FP/G]]-Table2[[#This Row],[FP/G]])</f>
        <v>#REF!</v>
      </c>
    </row>
    <row r="148" spans="1:8" x14ac:dyDescent="0.25">
      <c r="A148" t="s">
        <v>713</v>
      </c>
      <c r="B148" t="s">
        <v>714</v>
      </c>
      <c r="C148" t="e">
        <f>VLOOKUP(A148,'Overall Results'!$B$2:$I$543,9,FALSE)</f>
        <v>#REF!</v>
      </c>
      <c r="D148" t="e">
        <f>VLOOKUP(A148,'Overall Results'!$B$2:$I$543,10,FALSE)</f>
        <v>#REF!</v>
      </c>
      <c r="E148" s="3">
        <v>256.5</v>
      </c>
      <c r="F148" s="3">
        <v>3.13</v>
      </c>
      <c r="G148" s="8" t="e">
        <f>ABS(Table2[[#This Row],[E - FPts]]-Table2[[#This Row],[FPts]])</f>
        <v>#REF!</v>
      </c>
      <c r="H148" s="8" t="e">
        <f>ABS(Table2[[#This Row],[E - FP/G]]-Table2[[#This Row],[FP/G]])</f>
        <v>#REF!</v>
      </c>
    </row>
    <row r="149" spans="1:8" x14ac:dyDescent="0.25">
      <c r="A149" t="s">
        <v>1354</v>
      </c>
      <c r="B149" t="s">
        <v>1501</v>
      </c>
      <c r="C149" t="e">
        <f>VLOOKUP(A149,'Overall Results'!$B$2:$I$543,9,FALSE)</f>
        <v>#N/A</v>
      </c>
      <c r="D149" t="e">
        <f>VLOOKUP(A149,'Overall Results'!$B$2:$I$543,10,FALSE)</f>
        <v>#N/A</v>
      </c>
      <c r="E149" s="3">
        <v>509.8</v>
      </c>
      <c r="F149" s="3">
        <v>6.22</v>
      </c>
      <c r="G149" s="8" t="e">
        <f>ABS(Table2[[#This Row],[E - FPts]]-Table2[[#This Row],[FPts]])</f>
        <v>#N/A</v>
      </c>
      <c r="H149" s="8" t="e">
        <f>ABS(Table2[[#This Row],[E - FP/G]]-Table2[[#This Row],[FP/G]])</f>
        <v>#N/A</v>
      </c>
    </row>
    <row r="150" spans="1:8" x14ac:dyDescent="0.25">
      <c r="A150" t="s">
        <v>251</v>
      </c>
      <c r="B150" t="s">
        <v>252</v>
      </c>
      <c r="C150" t="e">
        <f>VLOOKUP(A150,'Overall Results'!$B$2:$I$543,9,FALSE)</f>
        <v>#REF!</v>
      </c>
      <c r="D150" t="e">
        <f>VLOOKUP(A150,'Overall Results'!$B$2:$I$543,10,FALSE)</f>
        <v>#REF!</v>
      </c>
      <c r="E150" s="3">
        <v>406.3</v>
      </c>
      <c r="F150" s="3">
        <v>4.95</v>
      </c>
      <c r="G150" s="8" t="e">
        <f>ABS(Table2[[#This Row],[E - FPts]]-Table2[[#This Row],[FPts]])</f>
        <v>#REF!</v>
      </c>
      <c r="H150" s="8" t="e">
        <f>ABS(Table2[[#This Row],[E - FP/G]]-Table2[[#This Row],[FP/G]])</f>
        <v>#REF!</v>
      </c>
    </row>
    <row r="151" spans="1:8" x14ac:dyDescent="0.25">
      <c r="A151" t="s">
        <v>705</v>
      </c>
      <c r="B151" t="s">
        <v>706</v>
      </c>
      <c r="C151" t="e">
        <f>VLOOKUP(A151,'Overall Results'!$B$2:$I$543,9,FALSE)</f>
        <v>#REF!</v>
      </c>
      <c r="D151" t="e">
        <f>VLOOKUP(A151,'Overall Results'!$B$2:$I$543,10,FALSE)</f>
        <v>#REF!</v>
      </c>
      <c r="E151" s="3">
        <v>250.35</v>
      </c>
      <c r="F151" s="3">
        <v>3.17</v>
      </c>
      <c r="G151" s="8" t="e">
        <f>ABS(Table2[[#This Row],[E - FPts]]-Table2[[#This Row],[FPts]])</f>
        <v>#REF!</v>
      </c>
      <c r="H151" s="8" t="e">
        <f>ABS(Table2[[#This Row],[E - FP/G]]-Table2[[#This Row],[FP/G]])</f>
        <v>#REF!</v>
      </c>
    </row>
    <row r="152" spans="1:8" x14ac:dyDescent="0.25">
      <c r="A152" t="s">
        <v>212</v>
      </c>
      <c r="B152" t="s">
        <v>213</v>
      </c>
      <c r="C152" t="e">
        <f>VLOOKUP(A152,'Overall Results'!$B$2:$I$543,9,FALSE)</f>
        <v>#REF!</v>
      </c>
      <c r="D152" t="e">
        <f>VLOOKUP(A152,'Overall Results'!$B$2:$I$543,10,FALSE)</f>
        <v>#REF!</v>
      </c>
      <c r="E152" s="3">
        <v>373.8</v>
      </c>
      <c r="F152" s="3">
        <v>4.67</v>
      </c>
      <c r="G152" s="8" t="e">
        <f>ABS(Table2[[#This Row],[E - FPts]]-Table2[[#This Row],[FPts]])</f>
        <v>#REF!</v>
      </c>
      <c r="H152" s="8" t="e">
        <f>ABS(Table2[[#This Row],[E - FP/G]]-Table2[[#This Row],[FP/G]])</f>
        <v>#REF!</v>
      </c>
    </row>
    <row r="153" spans="1:8" x14ac:dyDescent="0.25">
      <c r="A153" t="s">
        <v>649</v>
      </c>
      <c r="B153" t="s">
        <v>650</v>
      </c>
      <c r="C153" t="e">
        <f>VLOOKUP(A153,'Overall Results'!$B$2:$I$543,9,FALSE)</f>
        <v>#REF!</v>
      </c>
      <c r="D153" t="e">
        <f>VLOOKUP(A153,'Overall Results'!$B$2:$I$543,10,FALSE)</f>
        <v>#REF!</v>
      </c>
      <c r="E153" s="3">
        <v>130.44999999999999</v>
      </c>
      <c r="F153" s="3">
        <v>2.56</v>
      </c>
      <c r="G153" s="8" t="e">
        <f>ABS(Table2[[#This Row],[E - FPts]]-Table2[[#This Row],[FPts]])</f>
        <v>#REF!</v>
      </c>
      <c r="H153" s="8" t="e">
        <f>ABS(Table2[[#This Row],[E - FP/G]]-Table2[[#This Row],[FP/G]])</f>
        <v>#REF!</v>
      </c>
    </row>
    <row r="154" spans="1:8" x14ac:dyDescent="0.25">
      <c r="A154" t="s">
        <v>539</v>
      </c>
      <c r="B154" t="s">
        <v>540</v>
      </c>
      <c r="C154" t="e">
        <f>VLOOKUP(A154,'Overall Results'!$B$2:$I$543,9,FALSE)</f>
        <v>#REF!</v>
      </c>
      <c r="D154" t="e">
        <f>VLOOKUP(A154,'Overall Results'!$B$2:$I$543,10,FALSE)</f>
        <v>#REF!</v>
      </c>
      <c r="E154" s="3">
        <v>324.64999999999998</v>
      </c>
      <c r="F154" s="3">
        <v>4.0599999999999996</v>
      </c>
      <c r="G154" s="8" t="e">
        <f>ABS(Table2[[#This Row],[E - FPts]]-Table2[[#This Row],[FPts]])</f>
        <v>#REF!</v>
      </c>
      <c r="H154" s="8" t="e">
        <f>ABS(Table2[[#This Row],[E - FP/G]]-Table2[[#This Row],[FP/G]])</f>
        <v>#REF!</v>
      </c>
    </row>
    <row r="155" spans="1:8" x14ac:dyDescent="0.25">
      <c r="A155" t="s">
        <v>171</v>
      </c>
      <c r="B155" t="s">
        <v>172</v>
      </c>
      <c r="C155" t="e">
        <f>VLOOKUP(A155,'Overall Results'!$B$2:$I$543,9,FALSE)</f>
        <v>#REF!</v>
      </c>
      <c r="D155" t="e">
        <f>VLOOKUP(A155,'Overall Results'!$B$2:$I$543,10,FALSE)</f>
        <v>#REF!</v>
      </c>
      <c r="E155" s="3">
        <v>413.25</v>
      </c>
      <c r="F155" s="3">
        <v>5.44</v>
      </c>
      <c r="G155" s="8" t="e">
        <f>ABS(Table2[[#This Row],[E - FPts]]-Table2[[#This Row],[FPts]])</f>
        <v>#REF!</v>
      </c>
      <c r="H155" s="8" t="e">
        <f>ABS(Table2[[#This Row],[E - FP/G]]-Table2[[#This Row],[FP/G]])</f>
        <v>#REF!</v>
      </c>
    </row>
    <row r="156" spans="1:8" x14ac:dyDescent="0.25">
      <c r="A156" t="s">
        <v>1293</v>
      </c>
      <c r="B156" t="s">
        <v>1294</v>
      </c>
      <c r="C156" t="e">
        <f>VLOOKUP(A156,'Overall Results'!$B$2:$I$543,9,FALSE)</f>
        <v>#N/A</v>
      </c>
      <c r="D156" t="e">
        <f>VLOOKUP(A156,'Overall Results'!$B$2:$I$543,10,FALSE)</f>
        <v>#N/A</v>
      </c>
      <c r="E156" s="3">
        <v>4.95</v>
      </c>
      <c r="F156" s="3">
        <v>1.24</v>
      </c>
      <c r="G156" s="8" t="e">
        <f>ABS(Table2[[#This Row],[E - FPts]]-Table2[[#This Row],[FPts]])</f>
        <v>#N/A</v>
      </c>
      <c r="H156" s="8" t="e">
        <f>ABS(Table2[[#This Row],[E - FP/G]]-Table2[[#This Row],[FP/G]])</f>
        <v>#N/A</v>
      </c>
    </row>
    <row r="157" spans="1:8" x14ac:dyDescent="0.25">
      <c r="A157" t="s">
        <v>1221</v>
      </c>
      <c r="B157" t="s">
        <v>1222</v>
      </c>
      <c r="C157" t="e">
        <f>VLOOKUP(A157,'Overall Results'!$B$2:$I$543,9,FALSE)</f>
        <v>#N/A</v>
      </c>
      <c r="D157" t="e">
        <f>VLOOKUP(A157,'Overall Results'!$B$2:$I$543,10,FALSE)</f>
        <v>#N/A</v>
      </c>
      <c r="E157" s="3">
        <v>22.7</v>
      </c>
      <c r="F157" s="3">
        <v>0.81</v>
      </c>
      <c r="G157" s="8" t="e">
        <f>ABS(Table2[[#This Row],[E - FPts]]-Table2[[#This Row],[FPts]])</f>
        <v>#N/A</v>
      </c>
      <c r="H157" s="8" t="e">
        <f>ABS(Table2[[#This Row],[E - FP/G]]-Table2[[#This Row],[FP/G]])</f>
        <v>#N/A</v>
      </c>
    </row>
    <row r="158" spans="1:8" x14ac:dyDescent="0.25">
      <c r="A158" t="s">
        <v>661</v>
      </c>
      <c r="B158" t="s">
        <v>662</v>
      </c>
      <c r="C158" t="e">
        <f>VLOOKUP(A158,'Overall Results'!$B$2:$I$543,9,FALSE)</f>
        <v>#REF!</v>
      </c>
      <c r="D158" t="e">
        <f>VLOOKUP(A158,'Overall Results'!$B$2:$I$543,10,FALSE)</f>
        <v>#REF!</v>
      </c>
      <c r="E158" s="3">
        <v>261.05</v>
      </c>
      <c r="F158" s="3">
        <v>3.58</v>
      </c>
      <c r="G158" s="8" t="e">
        <f>ABS(Table2[[#This Row],[E - FPts]]-Table2[[#This Row],[FPts]])</f>
        <v>#REF!</v>
      </c>
      <c r="H158" s="8" t="e">
        <f>ABS(Table2[[#This Row],[E - FP/G]]-Table2[[#This Row],[FP/G]])</f>
        <v>#REF!</v>
      </c>
    </row>
    <row r="159" spans="1:8" x14ac:dyDescent="0.25">
      <c r="A159" t="s">
        <v>216</v>
      </c>
      <c r="B159" t="s">
        <v>217</v>
      </c>
      <c r="C159" t="e">
        <f>VLOOKUP(A159,'Overall Results'!$B$2:$I$543,9,FALSE)</f>
        <v>#REF!</v>
      </c>
      <c r="D159" t="e">
        <f>VLOOKUP(A159,'Overall Results'!$B$2:$I$543,10,FALSE)</f>
        <v>#REF!</v>
      </c>
      <c r="E159" s="3">
        <v>496.45</v>
      </c>
      <c r="F159" s="3">
        <v>6.05</v>
      </c>
      <c r="G159" s="8" t="e">
        <f>ABS(Table2[[#This Row],[E - FPts]]-Table2[[#This Row],[FPts]])</f>
        <v>#REF!</v>
      </c>
      <c r="H159" s="8" t="e">
        <f>ABS(Table2[[#This Row],[E - FP/G]]-Table2[[#This Row],[FP/G]])</f>
        <v>#REF!</v>
      </c>
    </row>
    <row r="160" spans="1:8" x14ac:dyDescent="0.25">
      <c r="A160" t="s">
        <v>1346</v>
      </c>
      <c r="B160" t="s">
        <v>1347</v>
      </c>
      <c r="C160" t="e">
        <f>VLOOKUP(A160,'Overall Results'!$B$2:$I$543,9,FALSE)</f>
        <v>#REF!</v>
      </c>
      <c r="D160" t="e">
        <f>VLOOKUP(A160,'Overall Results'!$B$2:$I$543,10,FALSE)</f>
        <v>#REF!</v>
      </c>
      <c r="E160" s="3">
        <v>61.05</v>
      </c>
      <c r="F160" s="3">
        <v>1.61</v>
      </c>
      <c r="G160" s="8" t="e">
        <f>ABS(Table2[[#This Row],[E - FPts]]-Table2[[#This Row],[FPts]])</f>
        <v>#REF!</v>
      </c>
      <c r="H160" s="8" t="e">
        <f>ABS(Table2[[#This Row],[E - FP/G]]-Table2[[#This Row],[FP/G]])</f>
        <v>#REF!</v>
      </c>
    </row>
    <row r="161" spans="1:8" x14ac:dyDescent="0.25">
      <c r="A161" t="s">
        <v>279</v>
      </c>
      <c r="B161" t="s">
        <v>280</v>
      </c>
      <c r="C161" t="e">
        <f>VLOOKUP(A161,'Overall Results'!$B$2:$I$543,9,FALSE)</f>
        <v>#REF!</v>
      </c>
      <c r="D161" t="e">
        <f>VLOOKUP(A161,'Overall Results'!$B$2:$I$543,10,FALSE)</f>
        <v>#REF!</v>
      </c>
      <c r="E161" s="3">
        <v>529.54999999999995</v>
      </c>
      <c r="F161" s="3">
        <v>6.7</v>
      </c>
      <c r="G161" s="8" t="e">
        <f>ABS(Table2[[#This Row],[E - FPts]]-Table2[[#This Row],[FPts]])</f>
        <v>#REF!</v>
      </c>
      <c r="H161" s="8" t="e">
        <f>ABS(Table2[[#This Row],[E - FP/G]]-Table2[[#This Row],[FP/G]])</f>
        <v>#REF!</v>
      </c>
    </row>
    <row r="162" spans="1:8" x14ac:dyDescent="0.25">
      <c r="A162" t="s">
        <v>835</v>
      </c>
      <c r="B162" t="s">
        <v>836</v>
      </c>
      <c r="C162" t="e">
        <f>VLOOKUP(A162,'Overall Results'!$B$2:$I$543,9,FALSE)</f>
        <v>#REF!</v>
      </c>
      <c r="D162" t="e">
        <f>VLOOKUP(A162,'Overall Results'!$B$2:$I$543,10,FALSE)</f>
        <v>#REF!</v>
      </c>
      <c r="E162" s="3">
        <v>177.5</v>
      </c>
      <c r="F162" s="3">
        <v>2.2200000000000002</v>
      </c>
      <c r="G162" s="8" t="e">
        <f>ABS(Table2[[#This Row],[E - FPts]]-Table2[[#This Row],[FPts]])</f>
        <v>#REF!</v>
      </c>
      <c r="H162" s="8" t="e">
        <f>ABS(Table2[[#This Row],[E - FP/G]]-Table2[[#This Row],[FP/G]])</f>
        <v>#REF!</v>
      </c>
    </row>
    <row r="163" spans="1:8" x14ac:dyDescent="0.25">
      <c r="A163" t="s">
        <v>897</v>
      </c>
      <c r="B163" t="s">
        <v>898</v>
      </c>
      <c r="C163" t="e">
        <f>VLOOKUP(A163,'Overall Results'!$B$2:$I$543,9,FALSE)</f>
        <v>#REF!</v>
      </c>
      <c r="D163" t="e">
        <f>VLOOKUP(A163,'Overall Results'!$B$2:$I$543,10,FALSE)</f>
        <v>#REF!</v>
      </c>
      <c r="E163" s="3">
        <v>150.6</v>
      </c>
      <c r="F163" s="3">
        <v>2.12</v>
      </c>
      <c r="G163" s="8" t="e">
        <f>ABS(Table2[[#This Row],[E - FPts]]-Table2[[#This Row],[FPts]])</f>
        <v>#REF!</v>
      </c>
      <c r="H163" s="8" t="e">
        <f>ABS(Table2[[#This Row],[E - FP/G]]-Table2[[#This Row],[FP/G]])</f>
        <v>#REF!</v>
      </c>
    </row>
    <row r="164" spans="1:8" x14ac:dyDescent="0.25">
      <c r="A164" t="s">
        <v>767</v>
      </c>
      <c r="B164" t="s">
        <v>768</v>
      </c>
      <c r="C164" t="e">
        <f>VLOOKUP(A164,'Overall Results'!$B$2:$I$543,9,FALSE)</f>
        <v>#REF!</v>
      </c>
      <c r="D164" t="e">
        <f>VLOOKUP(A164,'Overall Results'!$B$2:$I$543,10,FALSE)</f>
        <v>#REF!</v>
      </c>
      <c r="E164" s="3">
        <v>202.65</v>
      </c>
      <c r="F164" s="3">
        <v>2.89</v>
      </c>
      <c r="G164" s="8" t="e">
        <f>ABS(Table2[[#This Row],[E - FPts]]-Table2[[#This Row],[FPts]])</f>
        <v>#REF!</v>
      </c>
      <c r="H164" s="8" t="e">
        <f>ABS(Table2[[#This Row],[E - FP/G]]-Table2[[#This Row],[FP/G]])</f>
        <v>#REF!</v>
      </c>
    </row>
    <row r="165" spans="1:8" x14ac:dyDescent="0.25">
      <c r="A165" t="s">
        <v>47</v>
      </c>
      <c r="B165" t="s">
        <v>48</v>
      </c>
      <c r="C165" t="e">
        <f>VLOOKUP(A165,'Overall Results'!$B$2:$I$543,9,FALSE)</f>
        <v>#REF!</v>
      </c>
      <c r="D165" t="e">
        <f>VLOOKUP(A165,'Overall Results'!$B$2:$I$543,10,FALSE)</f>
        <v>#REF!</v>
      </c>
      <c r="E165" s="3">
        <v>636.20000000000005</v>
      </c>
      <c r="F165" s="3">
        <v>7.85</v>
      </c>
      <c r="G165" s="8" t="e">
        <f>ABS(Table2[[#This Row],[E - FPts]]-Table2[[#This Row],[FPts]])</f>
        <v>#REF!</v>
      </c>
      <c r="H165" s="8" t="e">
        <f>ABS(Table2[[#This Row],[E - FP/G]]-Table2[[#This Row],[FP/G]])</f>
        <v>#REF!</v>
      </c>
    </row>
    <row r="166" spans="1:8" x14ac:dyDescent="0.25">
      <c r="A166" t="s">
        <v>759</v>
      </c>
      <c r="B166" t="s">
        <v>760</v>
      </c>
      <c r="C166" t="e">
        <f>VLOOKUP(A166,'Overall Results'!$B$2:$I$543,9,FALSE)</f>
        <v>#REF!</v>
      </c>
      <c r="D166" t="e">
        <f>VLOOKUP(A166,'Overall Results'!$B$2:$I$543,10,FALSE)</f>
        <v>#REF!</v>
      </c>
      <c r="E166" s="3">
        <v>172.5</v>
      </c>
      <c r="F166" s="3">
        <v>2.57</v>
      </c>
      <c r="G166" s="8" t="e">
        <f>ABS(Table2[[#This Row],[E - FPts]]-Table2[[#This Row],[FPts]])</f>
        <v>#REF!</v>
      </c>
      <c r="H166" s="8" t="e">
        <f>ABS(Table2[[#This Row],[E - FP/G]]-Table2[[#This Row],[FP/G]])</f>
        <v>#REF!</v>
      </c>
    </row>
    <row r="167" spans="1:8" x14ac:dyDescent="0.25">
      <c r="A167" t="s">
        <v>325</v>
      </c>
      <c r="B167" t="s">
        <v>326</v>
      </c>
      <c r="C167" t="e">
        <f>VLOOKUP(A167,'Overall Results'!$B$2:$I$543,9,FALSE)</f>
        <v>#REF!</v>
      </c>
      <c r="D167" t="e">
        <f>VLOOKUP(A167,'Overall Results'!$B$2:$I$543,10,FALSE)</f>
        <v>#REF!</v>
      </c>
      <c r="E167" s="3">
        <v>492.65</v>
      </c>
      <c r="F167" s="3">
        <v>6.57</v>
      </c>
      <c r="G167" s="8" t="e">
        <f>ABS(Table2[[#This Row],[E - FPts]]-Table2[[#This Row],[FPts]])</f>
        <v>#REF!</v>
      </c>
      <c r="H167" s="8" t="e">
        <f>ABS(Table2[[#This Row],[E - FP/G]]-Table2[[#This Row],[FP/G]])</f>
        <v>#REF!</v>
      </c>
    </row>
    <row r="168" spans="1:8" x14ac:dyDescent="0.25">
      <c r="A168" t="s">
        <v>92</v>
      </c>
      <c r="B168" t="s">
        <v>93</v>
      </c>
      <c r="C168" t="e">
        <f>VLOOKUP(A168,'Overall Results'!$B$2:$I$543,9,FALSE)</f>
        <v>#REF!</v>
      </c>
      <c r="D168" t="e">
        <f>VLOOKUP(A168,'Overall Results'!$B$2:$I$543,10,FALSE)</f>
        <v>#REF!</v>
      </c>
      <c r="E168" s="3">
        <v>532.45000000000005</v>
      </c>
      <c r="F168" s="3">
        <v>6.57</v>
      </c>
      <c r="G168" s="8" t="e">
        <f>ABS(Table2[[#This Row],[E - FPts]]-Table2[[#This Row],[FPts]])</f>
        <v>#REF!</v>
      </c>
      <c r="H168" s="8" t="e">
        <f>ABS(Table2[[#This Row],[E - FP/G]]-Table2[[#This Row],[FP/G]])</f>
        <v>#REF!</v>
      </c>
    </row>
    <row r="169" spans="1:8" x14ac:dyDescent="0.25">
      <c r="A169" t="s">
        <v>102</v>
      </c>
      <c r="B169" t="s">
        <v>103</v>
      </c>
      <c r="C169" t="e">
        <f>VLOOKUP(A169,'Overall Results'!$B$2:$I$543,9,FALSE)</f>
        <v>#REF!</v>
      </c>
      <c r="D169" t="e">
        <f>VLOOKUP(A169,'Overall Results'!$B$2:$I$543,10,FALSE)</f>
        <v>#REF!</v>
      </c>
      <c r="E169" s="3">
        <v>480.95</v>
      </c>
      <c r="F169" s="3">
        <v>6.01</v>
      </c>
      <c r="G169" s="8" t="e">
        <f>ABS(Table2[[#This Row],[E - FPts]]-Table2[[#This Row],[FPts]])</f>
        <v>#REF!</v>
      </c>
      <c r="H169" s="8" t="e">
        <f>ABS(Table2[[#This Row],[E - FP/G]]-Table2[[#This Row],[FP/G]])</f>
        <v>#REF!</v>
      </c>
    </row>
    <row r="170" spans="1:8" x14ac:dyDescent="0.25">
      <c r="A170" t="s">
        <v>497</v>
      </c>
      <c r="B170" t="s">
        <v>498</v>
      </c>
      <c r="C170" t="e">
        <f>VLOOKUP(A170,'Overall Results'!$B$2:$I$543,9,FALSE)</f>
        <v>#REF!</v>
      </c>
      <c r="D170" t="e">
        <f>VLOOKUP(A170,'Overall Results'!$B$2:$I$543,10,FALSE)</f>
        <v>#REF!</v>
      </c>
      <c r="E170" s="3">
        <v>365.7</v>
      </c>
      <c r="F170" s="3">
        <v>4.8099999999999996</v>
      </c>
      <c r="G170" s="8" t="e">
        <f>ABS(Table2[[#This Row],[E - FPts]]-Table2[[#This Row],[FPts]])</f>
        <v>#REF!</v>
      </c>
      <c r="H170" s="8" t="e">
        <f>ABS(Table2[[#This Row],[E - FP/G]]-Table2[[#This Row],[FP/G]])</f>
        <v>#REF!</v>
      </c>
    </row>
    <row r="171" spans="1:8" x14ac:dyDescent="0.25">
      <c r="A171" t="s">
        <v>501</v>
      </c>
      <c r="B171" t="s">
        <v>502</v>
      </c>
      <c r="C171" t="e">
        <f>VLOOKUP(A171,'Overall Results'!$B$2:$I$543,9,FALSE)</f>
        <v>#REF!</v>
      </c>
      <c r="D171" t="e">
        <f>VLOOKUP(A171,'Overall Results'!$B$2:$I$543,10,FALSE)</f>
        <v>#REF!</v>
      </c>
      <c r="E171" s="3">
        <v>170.3</v>
      </c>
      <c r="F171" s="3">
        <v>3.1</v>
      </c>
      <c r="G171" s="8" t="e">
        <f>ABS(Table2[[#This Row],[E - FPts]]-Table2[[#This Row],[FPts]])</f>
        <v>#REF!</v>
      </c>
      <c r="H171" s="8" t="e">
        <f>ABS(Table2[[#This Row],[E - FP/G]]-Table2[[#This Row],[FP/G]])</f>
        <v>#REF!</v>
      </c>
    </row>
    <row r="172" spans="1:8" x14ac:dyDescent="0.25">
      <c r="A172" t="s">
        <v>681</v>
      </c>
      <c r="B172" t="s">
        <v>682</v>
      </c>
      <c r="C172" t="e">
        <f>VLOOKUP(A172,'Overall Results'!$B$2:$I$543,9,FALSE)</f>
        <v>#REF!</v>
      </c>
      <c r="D172" t="e">
        <f>VLOOKUP(A172,'Overall Results'!$B$2:$I$543,10,FALSE)</f>
        <v>#REF!</v>
      </c>
      <c r="E172" s="3">
        <v>97.25</v>
      </c>
      <c r="F172" s="3">
        <v>2.78</v>
      </c>
      <c r="G172" s="8" t="e">
        <f>ABS(Table2[[#This Row],[E - FPts]]-Table2[[#This Row],[FPts]])</f>
        <v>#REF!</v>
      </c>
      <c r="H172" s="8" t="e">
        <f>ABS(Table2[[#This Row],[E - FP/G]]-Table2[[#This Row],[FP/G]])</f>
        <v>#REF!</v>
      </c>
    </row>
    <row r="173" spans="1:8" x14ac:dyDescent="0.25">
      <c r="A173" t="s">
        <v>228</v>
      </c>
      <c r="B173" t="s">
        <v>229</v>
      </c>
      <c r="C173" t="e">
        <f>VLOOKUP(A173,'Overall Results'!$B$2:$I$543,9,FALSE)</f>
        <v>#REF!</v>
      </c>
      <c r="D173" t="e">
        <f>VLOOKUP(A173,'Overall Results'!$B$2:$I$543,10,FALSE)</f>
        <v>#REF!</v>
      </c>
      <c r="E173" s="3">
        <v>471.15</v>
      </c>
      <c r="F173" s="3">
        <v>6.28</v>
      </c>
      <c r="G173" s="8" t="e">
        <f>ABS(Table2[[#This Row],[E - FPts]]-Table2[[#This Row],[FPts]])</f>
        <v>#REF!</v>
      </c>
      <c r="H173" s="8" t="e">
        <f>ABS(Table2[[#This Row],[E - FP/G]]-Table2[[#This Row],[FP/G]])</f>
        <v>#REF!</v>
      </c>
    </row>
    <row r="174" spans="1:8" x14ac:dyDescent="0.25">
      <c r="A174" t="s">
        <v>423</v>
      </c>
      <c r="B174" t="s">
        <v>424</v>
      </c>
      <c r="C174" t="e">
        <f>VLOOKUP(A174,'Overall Results'!$B$2:$I$543,9,FALSE)</f>
        <v>#REF!</v>
      </c>
      <c r="D174" t="e">
        <f>VLOOKUP(A174,'Overall Results'!$B$2:$I$543,10,FALSE)</f>
        <v>#REF!</v>
      </c>
      <c r="E174" s="3">
        <v>333.15</v>
      </c>
      <c r="F174" s="3">
        <v>4.4400000000000004</v>
      </c>
      <c r="G174" s="8" t="e">
        <f>ABS(Table2[[#This Row],[E - FPts]]-Table2[[#This Row],[FPts]])</f>
        <v>#REF!</v>
      </c>
      <c r="H174" s="8" t="e">
        <f>ABS(Table2[[#This Row],[E - FP/G]]-Table2[[#This Row],[FP/G]])</f>
        <v>#REF!</v>
      </c>
    </row>
    <row r="175" spans="1:8" x14ac:dyDescent="0.25">
      <c r="A175" t="s">
        <v>1189</v>
      </c>
      <c r="B175" t="s">
        <v>1190</v>
      </c>
      <c r="C175" t="e">
        <f>VLOOKUP(A175,'Overall Results'!$B$2:$I$543,9,FALSE)</f>
        <v>#N/A</v>
      </c>
      <c r="D175" t="e">
        <f>VLOOKUP(A175,'Overall Results'!$B$2:$I$543,10,FALSE)</f>
        <v>#N/A</v>
      </c>
      <c r="E175" s="3">
        <v>43.05</v>
      </c>
      <c r="F175" s="3">
        <v>1.79</v>
      </c>
      <c r="G175" s="8" t="e">
        <f>ABS(Table2[[#This Row],[E - FPts]]-Table2[[#This Row],[FPts]])</f>
        <v>#N/A</v>
      </c>
      <c r="H175" s="8" t="e">
        <f>ABS(Table2[[#This Row],[E - FP/G]]-Table2[[#This Row],[FP/G]])</f>
        <v>#N/A</v>
      </c>
    </row>
    <row r="176" spans="1:8" x14ac:dyDescent="0.25">
      <c r="A176" t="s">
        <v>1057</v>
      </c>
      <c r="B176" t="s">
        <v>1058</v>
      </c>
      <c r="C176" t="e">
        <f>VLOOKUP(A176,'Overall Results'!$B$2:$I$543,9,FALSE)</f>
        <v>#REF!</v>
      </c>
      <c r="D176" t="e">
        <f>VLOOKUP(A176,'Overall Results'!$B$2:$I$543,10,FALSE)</f>
        <v>#REF!</v>
      </c>
      <c r="E176" s="3">
        <v>112.25</v>
      </c>
      <c r="F176" s="3">
        <v>2.34</v>
      </c>
      <c r="G176" s="8" t="e">
        <f>ABS(Table2[[#This Row],[E - FPts]]-Table2[[#This Row],[FPts]])</f>
        <v>#REF!</v>
      </c>
      <c r="H176" s="8" t="e">
        <f>ABS(Table2[[#This Row],[E - FP/G]]-Table2[[#This Row],[FP/G]])</f>
        <v>#REF!</v>
      </c>
    </row>
    <row r="177" spans="1:8" x14ac:dyDescent="0.25">
      <c r="A177" t="s">
        <v>271</v>
      </c>
      <c r="B177" t="s">
        <v>272</v>
      </c>
      <c r="C177" t="e">
        <f>VLOOKUP(A177,'Overall Results'!$B$2:$I$543,9,FALSE)</f>
        <v>#REF!</v>
      </c>
      <c r="D177" t="e">
        <f>VLOOKUP(A177,'Overall Results'!$B$2:$I$543,10,FALSE)</f>
        <v>#REF!</v>
      </c>
      <c r="E177" s="3">
        <v>395.4</v>
      </c>
      <c r="F177" s="3">
        <v>5.2</v>
      </c>
      <c r="G177" s="8" t="e">
        <f>ABS(Table2[[#This Row],[E - FPts]]-Table2[[#This Row],[FPts]])</f>
        <v>#REF!</v>
      </c>
      <c r="H177" s="8" t="e">
        <f>ABS(Table2[[#This Row],[E - FP/G]]-Table2[[#This Row],[FP/G]])</f>
        <v>#REF!</v>
      </c>
    </row>
    <row r="178" spans="1:8" x14ac:dyDescent="0.25">
      <c r="A178" t="s">
        <v>575</v>
      </c>
      <c r="B178" t="s">
        <v>576</v>
      </c>
      <c r="C178" t="e">
        <f>VLOOKUP(A178,'Overall Results'!$B$2:$I$543,9,FALSE)</f>
        <v>#REF!</v>
      </c>
      <c r="D178" t="e">
        <f>VLOOKUP(A178,'Overall Results'!$B$2:$I$543,10,FALSE)</f>
        <v>#REF!</v>
      </c>
      <c r="E178" s="3">
        <v>266.3</v>
      </c>
      <c r="F178" s="3">
        <v>3.37</v>
      </c>
      <c r="G178" s="8" t="e">
        <f>ABS(Table2[[#This Row],[E - FPts]]-Table2[[#This Row],[FPts]])</f>
        <v>#REF!</v>
      </c>
      <c r="H178" s="8" t="e">
        <f>ABS(Table2[[#This Row],[E - FP/G]]-Table2[[#This Row],[FP/G]])</f>
        <v>#REF!</v>
      </c>
    </row>
    <row r="179" spans="1:8" x14ac:dyDescent="0.25">
      <c r="A179" t="s">
        <v>1502</v>
      </c>
      <c r="B179" t="s">
        <v>1503</v>
      </c>
      <c r="C179" t="e">
        <f>VLOOKUP(A179,'Overall Results'!$B$2:$I$543,9,FALSE)</f>
        <v>#N/A</v>
      </c>
      <c r="D179" t="e">
        <f>VLOOKUP(A179,'Overall Results'!$B$2:$I$543,10,FALSE)</f>
        <v>#N/A</v>
      </c>
      <c r="E179" s="3">
        <v>0</v>
      </c>
      <c r="F179" s="3">
        <v>0</v>
      </c>
      <c r="G179" s="8" t="e">
        <f>ABS(Table2[[#This Row],[E - FPts]]-Table2[[#This Row],[FPts]])</f>
        <v>#N/A</v>
      </c>
      <c r="H179" s="8" t="e">
        <f>ABS(Table2[[#This Row],[E - FP/G]]-Table2[[#This Row],[FP/G]])</f>
        <v>#N/A</v>
      </c>
    </row>
    <row r="180" spans="1:8" x14ac:dyDescent="0.25">
      <c r="A180" t="s">
        <v>683</v>
      </c>
      <c r="B180" t="s">
        <v>684</v>
      </c>
      <c r="C180" t="e">
        <f>VLOOKUP(A180,'Overall Results'!$B$2:$I$543,9,FALSE)</f>
        <v>#REF!</v>
      </c>
      <c r="D180" t="e">
        <f>VLOOKUP(A180,'Overall Results'!$B$2:$I$543,10,FALSE)</f>
        <v>#REF!</v>
      </c>
      <c r="E180" s="3">
        <v>158.19999999999999</v>
      </c>
      <c r="F180" s="3">
        <v>3.1</v>
      </c>
      <c r="G180" s="8" t="e">
        <f>ABS(Table2[[#This Row],[E - FPts]]-Table2[[#This Row],[FPts]])</f>
        <v>#REF!</v>
      </c>
      <c r="H180" s="8" t="e">
        <f>ABS(Table2[[#This Row],[E - FP/G]]-Table2[[#This Row],[FP/G]])</f>
        <v>#REF!</v>
      </c>
    </row>
    <row r="181" spans="1:8" x14ac:dyDescent="0.25">
      <c r="A181" t="s">
        <v>1322</v>
      </c>
      <c r="B181" t="s">
        <v>1323</v>
      </c>
      <c r="C181" t="e">
        <f>VLOOKUP(A181,'Overall Results'!$B$2:$I$543,9,FALSE)</f>
        <v>#REF!</v>
      </c>
      <c r="D181" t="e">
        <f>VLOOKUP(A181,'Overall Results'!$B$2:$I$543,10,FALSE)</f>
        <v>#REF!</v>
      </c>
      <c r="E181" s="3">
        <v>94.55</v>
      </c>
      <c r="F181" s="3">
        <v>1.39</v>
      </c>
      <c r="G181" s="8" t="e">
        <f>ABS(Table2[[#This Row],[E - FPts]]-Table2[[#This Row],[FPts]])</f>
        <v>#REF!</v>
      </c>
      <c r="H181" s="8" t="e">
        <f>ABS(Table2[[#This Row],[E - FP/G]]-Table2[[#This Row],[FP/G]])</f>
        <v>#REF!</v>
      </c>
    </row>
    <row r="182" spans="1:8" x14ac:dyDescent="0.25">
      <c r="A182" t="s">
        <v>1504</v>
      </c>
      <c r="B182" t="s">
        <v>1505</v>
      </c>
      <c r="C182" t="e">
        <f>VLOOKUP(A182,'Overall Results'!$B$2:$I$543,9,FALSE)</f>
        <v>#N/A</v>
      </c>
      <c r="D182" t="e">
        <f>VLOOKUP(A182,'Overall Results'!$B$2:$I$543,10,FALSE)</f>
        <v>#N/A</v>
      </c>
      <c r="E182" s="3">
        <v>179.05</v>
      </c>
      <c r="F182" s="3">
        <v>2.4900000000000002</v>
      </c>
      <c r="G182" s="8" t="e">
        <f>ABS(Table2[[#This Row],[E - FPts]]-Table2[[#This Row],[FPts]])</f>
        <v>#N/A</v>
      </c>
      <c r="H182" s="8" t="e">
        <f>ABS(Table2[[#This Row],[E - FP/G]]-Table2[[#This Row],[FP/G]])</f>
        <v>#N/A</v>
      </c>
    </row>
    <row r="183" spans="1:8" x14ac:dyDescent="0.25">
      <c r="A183" t="s">
        <v>1259</v>
      </c>
      <c r="B183" t="s">
        <v>1260</v>
      </c>
      <c r="C183" t="e">
        <f>VLOOKUP(A183,'Overall Results'!$B$2:$I$543,9,FALSE)</f>
        <v>#N/A</v>
      </c>
      <c r="D183" t="e">
        <f>VLOOKUP(A183,'Overall Results'!$B$2:$I$543,10,FALSE)</f>
        <v>#N/A</v>
      </c>
      <c r="E183" s="3">
        <v>1.2</v>
      </c>
      <c r="F183" s="3">
        <v>1.2</v>
      </c>
      <c r="G183" s="8" t="e">
        <f>ABS(Table2[[#This Row],[E - FPts]]-Table2[[#This Row],[FPts]])</f>
        <v>#N/A</v>
      </c>
      <c r="H183" s="8" t="e">
        <f>ABS(Table2[[#This Row],[E - FP/G]]-Table2[[#This Row],[FP/G]])</f>
        <v>#N/A</v>
      </c>
    </row>
    <row r="184" spans="1:8" x14ac:dyDescent="0.25">
      <c r="A184" t="s">
        <v>429</v>
      </c>
      <c r="B184" t="s">
        <v>430</v>
      </c>
      <c r="C184" t="e">
        <f>VLOOKUP(A184,'Overall Results'!$B$2:$I$543,9,FALSE)</f>
        <v>#REF!</v>
      </c>
      <c r="D184" t="e">
        <f>VLOOKUP(A184,'Overall Results'!$B$2:$I$543,10,FALSE)</f>
        <v>#REF!</v>
      </c>
      <c r="E184" s="3">
        <v>409.15</v>
      </c>
      <c r="F184" s="3">
        <v>5.76</v>
      </c>
      <c r="G184" s="8" t="e">
        <f>ABS(Table2[[#This Row],[E - FPts]]-Table2[[#This Row],[FPts]])</f>
        <v>#REF!</v>
      </c>
      <c r="H184" s="8" t="e">
        <f>ABS(Table2[[#This Row],[E - FP/G]]-Table2[[#This Row],[FP/G]])</f>
        <v>#REF!</v>
      </c>
    </row>
    <row r="185" spans="1:8" x14ac:dyDescent="0.25">
      <c r="A185" t="s">
        <v>73</v>
      </c>
      <c r="B185" t="s">
        <v>74</v>
      </c>
      <c r="C185" t="e">
        <f>VLOOKUP(A185,'Overall Results'!$B$2:$I$543,9,FALSE)</f>
        <v>#REF!</v>
      </c>
      <c r="D185" t="e">
        <f>VLOOKUP(A185,'Overall Results'!$B$2:$I$543,10,FALSE)</f>
        <v>#REF!</v>
      </c>
      <c r="E185" s="3">
        <v>455.4</v>
      </c>
      <c r="F185" s="3">
        <v>6.6</v>
      </c>
      <c r="G185" s="8" t="e">
        <f>ABS(Table2[[#This Row],[E - FPts]]-Table2[[#This Row],[FPts]])</f>
        <v>#REF!</v>
      </c>
      <c r="H185" s="8" t="e">
        <f>ABS(Table2[[#This Row],[E - FP/G]]-Table2[[#This Row],[FP/G]])</f>
        <v>#REF!</v>
      </c>
    </row>
    <row r="186" spans="1:8" x14ac:dyDescent="0.25">
      <c r="A186" t="s">
        <v>969</v>
      </c>
      <c r="B186" t="s">
        <v>970</v>
      </c>
      <c r="C186" t="e">
        <f>VLOOKUP(A186,'Overall Results'!$B$2:$I$543,9,FALSE)</f>
        <v>#REF!</v>
      </c>
      <c r="D186" t="e">
        <f>VLOOKUP(A186,'Overall Results'!$B$2:$I$543,10,FALSE)</f>
        <v>#REF!</v>
      </c>
      <c r="E186" s="3">
        <v>82.75</v>
      </c>
      <c r="F186" s="3">
        <v>2.76</v>
      </c>
      <c r="G186" s="8" t="e">
        <f>ABS(Table2[[#This Row],[E - FPts]]-Table2[[#This Row],[FPts]])</f>
        <v>#REF!</v>
      </c>
      <c r="H186" s="8" t="e">
        <f>ABS(Table2[[#This Row],[E - FP/G]]-Table2[[#This Row],[FP/G]])</f>
        <v>#REF!</v>
      </c>
    </row>
    <row r="187" spans="1:8" x14ac:dyDescent="0.25">
      <c r="A187" t="s">
        <v>1312</v>
      </c>
      <c r="B187" t="s">
        <v>1313</v>
      </c>
      <c r="C187" t="e">
        <f>VLOOKUP(A187,'Overall Results'!$B$2:$I$543,9,FALSE)</f>
        <v>#N/A</v>
      </c>
      <c r="D187" t="e">
        <f>VLOOKUP(A187,'Overall Results'!$B$2:$I$543,10,FALSE)</f>
        <v>#N/A</v>
      </c>
      <c r="E187" s="3">
        <v>121.85</v>
      </c>
      <c r="F187" s="3">
        <v>2.14</v>
      </c>
      <c r="G187" s="8" t="e">
        <f>ABS(Table2[[#This Row],[E - FPts]]-Table2[[#This Row],[FPts]])</f>
        <v>#N/A</v>
      </c>
      <c r="H187" s="8" t="e">
        <f>ABS(Table2[[#This Row],[E - FP/G]]-Table2[[#This Row],[FP/G]])</f>
        <v>#N/A</v>
      </c>
    </row>
    <row r="188" spans="1:8" x14ac:dyDescent="0.25">
      <c r="A188" t="s">
        <v>343</v>
      </c>
      <c r="B188" t="s">
        <v>344</v>
      </c>
      <c r="C188" t="e">
        <f>VLOOKUP(A188,'Overall Results'!$B$2:$I$543,9,FALSE)</f>
        <v>#REF!</v>
      </c>
      <c r="D188" t="e">
        <f>VLOOKUP(A188,'Overall Results'!$B$2:$I$543,10,FALSE)</f>
        <v>#REF!</v>
      </c>
      <c r="E188" s="3">
        <v>364.65</v>
      </c>
      <c r="F188" s="3">
        <v>4.45</v>
      </c>
      <c r="G188" s="8" t="e">
        <f>ABS(Table2[[#This Row],[E - FPts]]-Table2[[#This Row],[FPts]])</f>
        <v>#REF!</v>
      </c>
      <c r="H188" s="8" t="e">
        <f>ABS(Table2[[#This Row],[E - FP/G]]-Table2[[#This Row],[FP/G]])</f>
        <v>#REF!</v>
      </c>
    </row>
    <row r="189" spans="1:8" x14ac:dyDescent="0.25">
      <c r="A189" t="s">
        <v>1115</v>
      </c>
      <c r="B189" t="s">
        <v>1116</v>
      </c>
      <c r="C189" t="e">
        <f>VLOOKUP(A189,'Overall Results'!$B$2:$I$543,9,FALSE)</f>
        <v>#REF!</v>
      </c>
      <c r="D189" t="e">
        <f>VLOOKUP(A189,'Overall Results'!$B$2:$I$543,10,FALSE)</f>
        <v>#REF!</v>
      </c>
      <c r="E189" s="3">
        <v>147.4</v>
      </c>
      <c r="F189" s="3">
        <v>2.14</v>
      </c>
      <c r="G189" s="8" t="e">
        <f>ABS(Table2[[#This Row],[E - FPts]]-Table2[[#This Row],[FPts]])</f>
        <v>#REF!</v>
      </c>
      <c r="H189" s="8" t="e">
        <f>ABS(Table2[[#This Row],[E - FP/G]]-Table2[[#This Row],[FP/G]])</f>
        <v>#REF!</v>
      </c>
    </row>
    <row r="190" spans="1:8" x14ac:dyDescent="0.25">
      <c r="A190" t="s">
        <v>353</v>
      </c>
      <c r="B190" t="s">
        <v>354</v>
      </c>
      <c r="C190" t="e">
        <f>VLOOKUP(A190,'Overall Results'!$B$2:$I$543,9,FALSE)</f>
        <v>#REF!</v>
      </c>
      <c r="D190" t="e">
        <f>VLOOKUP(A190,'Overall Results'!$B$2:$I$543,10,FALSE)</f>
        <v>#REF!</v>
      </c>
      <c r="E190" s="3">
        <v>328.95</v>
      </c>
      <c r="F190" s="3">
        <v>5.14</v>
      </c>
      <c r="G190" s="8" t="e">
        <f>ABS(Table2[[#This Row],[E - FPts]]-Table2[[#This Row],[FPts]])</f>
        <v>#REF!</v>
      </c>
      <c r="H190" s="8" t="e">
        <f>ABS(Table2[[#This Row],[E - FP/G]]-Table2[[#This Row],[FP/G]])</f>
        <v>#REF!</v>
      </c>
    </row>
    <row r="191" spans="1:8" x14ac:dyDescent="0.25">
      <c r="A191" t="s">
        <v>200</v>
      </c>
      <c r="B191" t="s">
        <v>201</v>
      </c>
      <c r="C191" t="e">
        <f>VLOOKUP(A191,'Overall Results'!$B$2:$I$543,9,FALSE)</f>
        <v>#REF!</v>
      </c>
      <c r="D191" t="e">
        <f>VLOOKUP(A191,'Overall Results'!$B$2:$I$543,10,FALSE)</f>
        <v>#REF!</v>
      </c>
      <c r="E191" s="3">
        <v>466.1</v>
      </c>
      <c r="F191" s="3">
        <v>5.75</v>
      </c>
      <c r="G191" s="8" t="e">
        <f>ABS(Table2[[#This Row],[E - FPts]]-Table2[[#This Row],[FPts]])</f>
        <v>#REF!</v>
      </c>
      <c r="H191" s="8" t="e">
        <f>ABS(Table2[[#This Row],[E - FP/G]]-Table2[[#This Row],[FP/G]])</f>
        <v>#REF!</v>
      </c>
    </row>
    <row r="192" spans="1:8" x14ac:dyDescent="0.25">
      <c r="A192" t="s">
        <v>563</v>
      </c>
      <c r="B192" t="s">
        <v>564</v>
      </c>
      <c r="C192" t="e">
        <f>VLOOKUP(A192,'Overall Results'!$B$2:$I$543,9,FALSE)</f>
        <v>#REF!</v>
      </c>
      <c r="D192" t="e">
        <f>VLOOKUP(A192,'Overall Results'!$B$2:$I$543,10,FALSE)</f>
        <v>#REF!</v>
      </c>
      <c r="E192" s="3">
        <v>319.60000000000002</v>
      </c>
      <c r="F192" s="3">
        <v>4.21</v>
      </c>
      <c r="G192" s="8" t="e">
        <f>ABS(Table2[[#This Row],[E - FPts]]-Table2[[#This Row],[FPts]])</f>
        <v>#REF!</v>
      </c>
      <c r="H192" s="8" t="e">
        <f>ABS(Table2[[#This Row],[E - FP/G]]-Table2[[#This Row],[FP/G]])</f>
        <v>#REF!</v>
      </c>
    </row>
    <row r="193" spans="1:8" x14ac:dyDescent="0.25">
      <c r="A193" t="s">
        <v>857</v>
      </c>
      <c r="B193" t="s">
        <v>858</v>
      </c>
      <c r="C193" t="e">
        <f>VLOOKUP(A193,'Overall Results'!$B$2:$I$543,9,FALSE)</f>
        <v>#REF!</v>
      </c>
      <c r="D193" t="e">
        <f>VLOOKUP(A193,'Overall Results'!$B$2:$I$543,10,FALSE)</f>
        <v>#REF!</v>
      </c>
      <c r="E193" s="3">
        <v>84.95</v>
      </c>
      <c r="F193" s="3">
        <v>2.74</v>
      </c>
      <c r="G193" s="8" t="e">
        <f>ABS(Table2[[#This Row],[E - FPts]]-Table2[[#This Row],[FPts]])</f>
        <v>#REF!</v>
      </c>
      <c r="H193" s="8" t="e">
        <f>ABS(Table2[[#This Row],[E - FP/G]]-Table2[[#This Row],[FP/G]])</f>
        <v>#REF!</v>
      </c>
    </row>
    <row r="194" spans="1:8" x14ac:dyDescent="0.25">
      <c r="A194" t="s">
        <v>269</v>
      </c>
      <c r="B194" t="s">
        <v>270</v>
      </c>
      <c r="C194" t="e">
        <f>VLOOKUP(A194,'Overall Results'!$B$2:$I$543,9,FALSE)</f>
        <v>#REF!</v>
      </c>
      <c r="D194" t="e">
        <f>VLOOKUP(A194,'Overall Results'!$B$2:$I$543,10,FALSE)</f>
        <v>#REF!</v>
      </c>
      <c r="E194" s="3">
        <v>480.65</v>
      </c>
      <c r="F194" s="3">
        <v>6.77</v>
      </c>
      <c r="G194" s="8" t="e">
        <f>ABS(Table2[[#This Row],[E - FPts]]-Table2[[#This Row],[FPts]])</f>
        <v>#REF!</v>
      </c>
      <c r="H194" s="8" t="e">
        <f>ABS(Table2[[#This Row],[E - FP/G]]-Table2[[#This Row],[FP/G]])</f>
        <v>#REF!</v>
      </c>
    </row>
    <row r="195" spans="1:8" x14ac:dyDescent="0.25">
      <c r="A195" t="s">
        <v>635</v>
      </c>
      <c r="B195" t="s">
        <v>636</v>
      </c>
      <c r="C195" t="e">
        <f>VLOOKUP(A195,'Overall Results'!$B$2:$I$543,9,FALSE)</f>
        <v>#REF!</v>
      </c>
      <c r="D195" t="e">
        <f>VLOOKUP(A195,'Overall Results'!$B$2:$I$543,10,FALSE)</f>
        <v>#REF!</v>
      </c>
      <c r="E195" s="3">
        <v>266.85000000000002</v>
      </c>
      <c r="F195" s="3">
        <v>3.38</v>
      </c>
      <c r="G195" s="8" t="e">
        <f>ABS(Table2[[#This Row],[E - FPts]]-Table2[[#This Row],[FPts]])</f>
        <v>#REF!</v>
      </c>
      <c r="H195" s="8" t="e">
        <f>ABS(Table2[[#This Row],[E - FP/G]]-Table2[[#This Row],[FP/G]])</f>
        <v>#REF!</v>
      </c>
    </row>
    <row r="196" spans="1:8" x14ac:dyDescent="0.25">
      <c r="A196" t="s">
        <v>421</v>
      </c>
      <c r="B196" t="s">
        <v>422</v>
      </c>
      <c r="C196" t="e">
        <f>VLOOKUP(A196,'Overall Results'!$B$2:$I$543,9,FALSE)</f>
        <v>#REF!</v>
      </c>
      <c r="D196" t="e">
        <f>VLOOKUP(A196,'Overall Results'!$B$2:$I$543,10,FALSE)</f>
        <v>#REF!</v>
      </c>
      <c r="E196" s="3">
        <v>364.5</v>
      </c>
      <c r="F196" s="3">
        <v>4.6100000000000003</v>
      </c>
      <c r="G196" s="8" t="e">
        <f>ABS(Table2[[#This Row],[E - FPts]]-Table2[[#This Row],[FPts]])</f>
        <v>#REF!</v>
      </c>
      <c r="H196" s="8" t="e">
        <f>ABS(Table2[[#This Row],[E - FP/G]]-Table2[[#This Row],[FP/G]])</f>
        <v>#REF!</v>
      </c>
    </row>
    <row r="197" spans="1:8" x14ac:dyDescent="0.25">
      <c r="A197" t="s">
        <v>1049</v>
      </c>
      <c r="B197" t="s">
        <v>1050</v>
      </c>
      <c r="C197" t="e">
        <f>VLOOKUP(A197,'Overall Results'!$B$2:$I$543,9,FALSE)</f>
        <v>#REF!</v>
      </c>
      <c r="D197" t="e">
        <f>VLOOKUP(A197,'Overall Results'!$B$2:$I$543,10,FALSE)</f>
        <v>#REF!</v>
      </c>
      <c r="E197" s="3">
        <v>183.45</v>
      </c>
      <c r="F197" s="3">
        <v>2.35</v>
      </c>
      <c r="G197" s="8" t="e">
        <f>ABS(Table2[[#This Row],[E - FPts]]-Table2[[#This Row],[FPts]])</f>
        <v>#REF!</v>
      </c>
      <c r="H197" s="8" t="e">
        <f>ABS(Table2[[#This Row],[E - FP/G]]-Table2[[#This Row],[FP/G]])</f>
        <v>#REF!</v>
      </c>
    </row>
    <row r="198" spans="1:8" x14ac:dyDescent="0.25">
      <c r="A198" t="s">
        <v>1271</v>
      </c>
      <c r="B198" t="s">
        <v>1272</v>
      </c>
      <c r="C198" t="e">
        <f>VLOOKUP(A198,'Overall Results'!$B$2:$I$543,9,FALSE)</f>
        <v>#N/A</v>
      </c>
      <c r="D198" t="e">
        <f>VLOOKUP(A198,'Overall Results'!$B$2:$I$543,10,FALSE)</f>
        <v>#N/A</v>
      </c>
      <c r="E198" s="3">
        <v>0.5</v>
      </c>
      <c r="F198" s="3">
        <v>0.5</v>
      </c>
      <c r="G198" s="8" t="e">
        <f>ABS(Table2[[#This Row],[E - FPts]]-Table2[[#This Row],[FPts]])</f>
        <v>#N/A</v>
      </c>
      <c r="H198" s="8" t="e">
        <f>ABS(Table2[[#This Row],[E - FP/G]]-Table2[[#This Row],[FP/G]])</f>
        <v>#N/A</v>
      </c>
    </row>
    <row r="199" spans="1:8" x14ac:dyDescent="0.25">
      <c r="A199" t="s">
        <v>463</v>
      </c>
      <c r="B199" t="s">
        <v>464</v>
      </c>
      <c r="C199" t="e">
        <f>VLOOKUP(A199,'Overall Results'!$B$2:$I$543,9,FALSE)</f>
        <v>#REF!</v>
      </c>
      <c r="D199" t="e">
        <f>VLOOKUP(A199,'Overall Results'!$B$2:$I$543,10,FALSE)</f>
        <v>#REF!</v>
      </c>
      <c r="E199" s="3">
        <v>383.75</v>
      </c>
      <c r="F199" s="3">
        <v>4.74</v>
      </c>
      <c r="G199" s="8" t="e">
        <f>ABS(Table2[[#This Row],[E - FPts]]-Table2[[#This Row],[FPts]])</f>
        <v>#REF!</v>
      </c>
      <c r="H199" s="8" t="e">
        <f>ABS(Table2[[#This Row],[E - FP/G]]-Table2[[#This Row],[FP/G]])</f>
        <v>#REF!</v>
      </c>
    </row>
    <row r="200" spans="1:8" x14ac:dyDescent="0.25">
      <c r="A200" t="s">
        <v>1109</v>
      </c>
      <c r="B200" t="s">
        <v>1110</v>
      </c>
      <c r="C200" t="e">
        <f>VLOOKUP(A200,'Overall Results'!$B$2:$I$543,9,FALSE)</f>
        <v>#N/A</v>
      </c>
      <c r="D200" t="e">
        <f>VLOOKUP(A200,'Overall Results'!$B$2:$I$543,10,FALSE)</f>
        <v>#N/A</v>
      </c>
      <c r="E200" s="3">
        <v>96.2</v>
      </c>
      <c r="F200" s="3">
        <v>1.96</v>
      </c>
      <c r="G200" s="8" t="e">
        <f>ABS(Table2[[#This Row],[E - FPts]]-Table2[[#This Row],[FPts]])</f>
        <v>#N/A</v>
      </c>
      <c r="H200" s="8" t="e">
        <f>ABS(Table2[[#This Row],[E - FP/G]]-Table2[[#This Row],[FP/G]])</f>
        <v>#N/A</v>
      </c>
    </row>
    <row r="201" spans="1:8" x14ac:dyDescent="0.25">
      <c r="A201" t="s">
        <v>218</v>
      </c>
      <c r="B201" t="s">
        <v>219</v>
      </c>
      <c r="C201" t="e">
        <f>VLOOKUP(A201,'Overall Results'!$B$2:$I$543,9,FALSE)</f>
        <v>#REF!</v>
      </c>
      <c r="D201" t="e">
        <f>VLOOKUP(A201,'Overall Results'!$B$2:$I$543,10,FALSE)</f>
        <v>#REF!</v>
      </c>
      <c r="E201" s="3">
        <v>385.8</v>
      </c>
      <c r="F201" s="3">
        <v>4.76</v>
      </c>
      <c r="G201" s="8" t="e">
        <f>ABS(Table2[[#This Row],[E - FPts]]-Table2[[#This Row],[FPts]])</f>
        <v>#REF!</v>
      </c>
      <c r="H201" s="8" t="e">
        <f>ABS(Table2[[#This Row],[E - FP/G]]-Table2[[#This Row],[FP/G]])</f>
        <v>#REF!</v>
      </c>
    </row>
    <row r="202" spans="1:8" x14ac:dyDescent="0.25">
      <c r="A202" t="s">
        <v>186</v>
      </c>
      <c r="B202" t="s">
        <v>187</v>
      </c>
      <c r="C202" t="e">
        <f>VLOOKUP(A202,'Overall Results'!$B$2:$I$543,9,FALSE)</f>
        <v>#REF!</v>
      </c>
      <c r="D202" t="e">
        <f>VLOOKUP(A202,'Overall Results'!$B$2:$I$543,10,FALSE)</f>
        <v>#REF!</v>
      </c>
      <c r="E202" s="3">
        <v>376.85</v>
      </c>
      <c r="F202" s="3">
        <v>5.0199999999999996</v>
      </c>
      <c r="G202" s="8" t="e">
        <f>ABS(Table2[[#This Row],[E - FPts]]-Table2[[#This Row],[FPts]])</f>
        <v>#REF!</v>
      </c>
      <c r="H202" s="8" t="e">
        <f>ABS(Table2[[#This Row],[E - FP/G]]-Table2[[#This Row],[FP/G]])</f>
        <v>#REF!</v>
      </c>
    </row>
    <row r="203" spans="1:8" x14ac:dyDescent="0.25">
      <c r="A203" t="s">
        <v>597</v>
      </c>
      <c r="B203" t="s">
        <v>598</v>
      </c>
      <c r="C203" t="e">
        <f>VLOOKUP(A203,'Overall Results'!$B$2:$I$543,9,FALSE)</f>
        <v>#REF!</v>
      </c>
      <c r="D203" t="e">
        <f>VLOOKUP(A203,'Overall Results'!$B$2:$I$543,10,FALSE)</f>
        <v>#REF!</v>
      </c>
      <c r="E203" s="3">
        <v>196.1</v>
      </c>
      <c r="F203" s="3">
        <v>3.32</v>
      </c>
      <c r="G203" s="8" t="e">
        <f>ABS(Table2[[#This Row],[E - FPts]]-Table2[[#This Row],[FPts]])</f>
        <v>#REF!</v>
      </c>
      <c r="H203" s="8" t="e">
        <f>ABS(Table2[[#This Row],[E - FP/G]]-Table2[[#This Row],[FP/G]])</f>
        <v>#REF!</v>
      </c>
    </row>
    <row r="204" spans="1:8" x14ac:dyDescent="0.25">
      <c r="A204" t="s">
        <v>1336</v>
      </c>
      <c r="B204" t="s">
        <v>1337</v>
      </c>
      <c r="C204" t="e">
        <f>VLOOKUP(A204,'Overall Results'!$B$2:$I$543,9,FALSE)</f>
        <v>#N/A</v>
      </c>
      <c r="D204" t="e">
        <f>VLOOKUP(A204,'Overall Results'!$B$2:$I$543,10,FALSE)</f>
        <v>#N/A</v>
      </c>
      <c r="E204" s="3">
        <v>83.6</v>
      </c>
      <c r="F204" s="3">
        <v>1.94</v>
      </c>
      <c r="G204" s="8" t="e">
        <f>ABS(Table2[[#This Row],[E - FPts]]-Table2[[#This Row],[FPts]])</f>
        <v>#N/A</v>
      </c>
      <c r="H204" s="8" t="e">
        <f>ABS(Table2[[#This Row],[E - FP/G]]-Table2[[#This Row],[FP/G]])</f>
        <v>#N/A</v>
      </c>
    </row>
    <row r="205" spans="1:8" x14ac:dyDescent="0.25">
      <c r="A205" t="s">
        <v>208</v>
      </c>
      <c r="B205" t="s">
        <v>209</v>
      </c>
      <c r="C205" t="e">
        <f>VLOOKUP(A205,'Overall Results'!$B$2:$I$543,9,FALSE)</f>
        <v>#REF!</v>
      </c>
      <c r="D205" t="e">
        <f>VLOOKUP(A205,'Overall Results'!$B$2:$I$543,10,FALSE)</f>
        <v>#REF!</v>
      </c>
      <c r="E205" s="3">
        <v>504.95</v>
      </c>
      <c r="F205" s="3">
        <v>6.23</v>
      </c>
      <c r="G205" s="8" t="e">
        <f>ABS(Table2[[#This Row],[E - FPts]]-Table2[[#This Row],[FPts]])</f>
        <v>#REF!</v>
      </c>
      <c r="H205" s="8" t="e">
        <f>ABS(Table2[[#This Row],[E - FP/G]]-Table2[[#This Row],[FP/G]])</f>
        <v>#REF!</v>
      </c>
    </row>
    <row r="206" spans="1:8" x14ac:dyDescent="0.25">
      <c r="A206" t="s">
        <v>393</v>
      </c>
      <c r="B206" t="s">
        <v>394</v>
      </c>
      <c r="C206" t="e">
        <f>VLOOKUP(A206,'Overall Results'!$B$2:$I$543,9,FALSE)</f>
        <v>#REF!</v>
      </c>
      <c r="D206" t="e">
        <f>VLOOKUP(A206,'Overall Results'!$B$2:$I$543,10,FALSE)</f>
        <v>#REF!</v>
      </c>
      <c r="E206" s="3">
        <v>406.25</v>
      </c>
      <c r="F206" s="3">
        <v>4.95</v>
      </c>
      <c r="G206" s="8" t="e">
        <f>ABS(Table2[[#This Row],[E - FPts]]-Table2[[#This Row],[FPts]])</f>
        <v>#REF!</v>
      </c>
      <c r="H206" s="8" t="e">
        <f>ABS(Table2[[#This Row],[E - FP/G]]-Table2[[#This Row],[FP/G]])</f>
        <v>#REF!</v>
      </c>
    </row>
    <row r="207" spans="1:8" x14ac:dyDescent="0.25">
      <c r="A207" t="s">
        <v>1005</v>
      </c>
      <c r="B207" t="s">
        <v>1006</v>
      </c>
      <c r="C207" t="e">
        <f>VLOOKUP(A207,'Overall Results'!$B$2:$I$543,9,FALSE)</f>
        <v>#REF!</v>
      </c>
      <c r="D207" t="e">
        <f>VLOOKUP(A207,'Overall Results'!$B$2:$I$543,10,FALSE)</f>
        <v>#REF!</v>
      </c>
      <c r="E207" s="3">
        <v>155.5</v>
      </c>
      <c r="F207" s="3">
        <v>2.5099999999999998</v>
      </c>
      <c r="G207" s="8" t="e">
        <f>ABS(Table2[[#This Row],[E - FPts]]-Table2[[#This Row],[FPts]])</f>
        <v>#REF!</v>
      </c>
      <c r="H207" s="8" t="e">
        <f>ABS(Table2[[#This Row],[E - FP/G]]-Table2[[#This Row],[FP/G]])</f>
        <v>#REF!</v>
      </c>
    </row>
    <row r="208" spans="1:8" x14ac:dyDescent="0.25">
      <c r="A208" t="s">
        <v>1013</v>
      </c>
      <c r="B208" t="s">
        <v>1014</v>
      </c>
      <c r="C208" t="e">
        <f>VLOOKUP(A208,'Overall Results'!$B$2:$I$543,9,FALSE)</f>
        <v>#N/A</v>
      </c>
      <c r="D208" t="e">
        <f>VLOOKUP(A208,'Overall Results'!$B$2:$I$543,10,FALSE)</f>
        <v>#N/A</v>
      </c>
      <c r="E208" s="3">
        <v>103</v>
      </c>
      <c r="F208" s="3">
        <v>2.2400000000000002</v>
      </c>
      <c r="G208" s="8" t="e">
        <f>ABS(Table2[[#This Row],[E - FPts]]-Table2[[#This Row],[FPts]])</f>
        <v>#N/A</v>
      </c>
      <c r="H208" s="8" t="e">
        <f>ABS(Table2[[#This Row],[E - FP/G]]-Table2[[#This Row],[FP/G]])</f>
        <v>#N/A</v>
      </c>
    </row>
    <row r="209" spans="1:8" x14ac:dyDescent="0.25">
      <c r="A209" t="s">
        <v>120</v>
      </c>
      <c r="B209" t="s">
        <v>121</v>
      </c>
      <c r="C209" t="e">
        <f>VLOOKUP(A209,'Overall Results'!$B$2:$I$543,9,FALSE)</f>
        <v>#N/A</v>
      </c>
      <c r="D209" t="e">
        <f>VLOOKUP(A209,'Overall Results'!$B$2:$I$543,10,FALSE)</f>
        <v>#N/A</v>
      </c>
      <c r="E209" s="3">
        <v>452</v>
      </c>
      <c r="F209" s="3">
        <v>5.87</v>
      </c>
      <c r="G209" s="8" t="e">
        <f>ABS(Table2[[#This Row],[E - FPts]]-Table2[[#This Row],[FPts]])</f>
        <v>#N/A</v>
      </c>
      <c r="H209" s="8" t="e">
        <f>ABS(Table2[[#This Row],[E - FP/G]]-Table2[[#This Row],[FP/G]])</f>
        <v>#N/A</v>
      </c>
    </row>
    <row r="210" spans="1:8" x14ac:dyDescent="0.25">
      <c r="A210" t="s">
        <v>923</v>
      </c>
      <c r="B210" t="s">
        <v>924</v>
      </c>
      <c r="C210" t="e">
        <f>VLOOKUP(A210,'Overall Results'!$B$2:$I$543,9,FALSE)</f>
        <v>#REF!</v>
      </c>
      <c r="D210" t="e">
        <f>VLOOKUP(A210,'Overall Results'!$B$2:$I$543,10,FALSE)</f>
        <v>#REF!</v>
      </c>
      <c r="E210" s="3">
        <v>192.85</v>
      </c>
      <c r="F210" s="3">
        <v>2.92</v>
      </c>
      <c r="G210" s="8" t="e">
        <f>ABS(Table2[[#This Row],[E - FPts]]-Table2[[#This Row],[FPts]])</f>
        <v>#REF!</v>
      </c>
      <c r="H210" s="8" t="e">
        <f>ABS(Table2[[#This Row],[E - FP/G]]-Table2[[#This Row],[FP/G]])</f>
        <v>#REF!</v>
      </c>
    </row>
    <row r="211" spans="1:8" x14ac:dyDescent="0.25">
      <c r="A211" t="s">
        <v>347</v>
      </c>
      <c r="B211" t="s">
        <v>348</v>
      </c>
      <c r="C211" t="e">
        <f>VLOOKUP(A211,'Overall Results'!$B$2:$I$543,9,FALSE)</f>
        <v>#REF!</v>
      </c>
      <c r="D211" t="e">
        <f>VLOOKUP(A211,'Overall Results'!$B$2:$I$543,10,FALSE)</f>
        <v>#REF!</v>
      </c>
      <c r="E211" s="3">
        <v>399.95</v>
      </c>
      <c r="F211" s="3">
        <v>4.9400000000000004</v>
      </c>
      <c r="G211" s="8" t="e">
        <f>ABS(Table2[[#This Row],[E - FPts]]-Table2[[#This Row],[FPts]])</f>
        <v>#REF!</v>
      </c>
      <c r="H211" s="8" t="e">
        <f>ABS(Table2[[#This Row],[E - FP/G]]-Table2[[#This Row],[FP/G]])</f>
        <v>#REF!</v>
      </c>
    </row>
    <row r="212" spans="1:8" x14ac:dyDescent="0.25">
      <c r="A212" t="s">
        <v>1111</v>
      </c>
      <c r="B212" t="s">
        <v>1112</v>
      </c>
      <c r="C212" t="e">
        <f>VLOOKUP(A212,'Overall Results'!$B$2:$I$543,9,FALSE)</f>
        <v>#REF!</v>
      </c>
      <c r="D212" t="e">
        <f>VLOOKUP(A212,'Overall Results'!$B$2:$I$543,10,FALSE)</f>
        <v>#REF!</v>
      </c>
      <c r="E212" s="3">
        <v>124.65</v>
      </c>
      <c r="F212" s="3">
        <v>1.76</v>
      </c>
      <c r="G212" s="8" t="e">
        <f>ABS(Table2[[#This Row],[E - FPts]]-Table2[[#This Row],[FPts]])</f>
        <v>#REF!</v>
      </c>
      <c r="H212" s="8" t="e">
        <f>ABS(Table2[[#This Row],[E - FP/G]]-Table2[[#This Row],[FP/G]])</f>
        <v>#REF!</v>
      </c>
    </row>
    <row r="213" spans="1:8" x14ac:dyDescent="0.25">
      <c r="A213" t="s">
        <v>1506</v>
      </c>
      <c r="B213" t="s">
        <v>1507</v>
      </c>
      <c r="C213" t="e">
        <f>VLOOKUP(A213,'Overall Results'!$B$2:$I$543,9,FALSE)</f>
        <v>#N/A</v>
      </c>
      <c r="D213" t="e">
        <f>VLOOKUP(A213,'Overall Results'!$B$2:$I$543,10,FALSE)</f>
        <v>#N/A</v>
      </c>
      <c r="E213" s="3">
        <v>32.049999999999997</v>
      </c>
      <c r="F213" s="3">
        <v>0.94</v>
      </c>
      <c r="G213" s="8" t="e">
        <f>ABS(Table2[[#This Row],[E - FPts]]-Table2[[#This Row],[FPts]])</f>
        <v>#N/A</v>
      </c>
      <c r="H213" s="8" t="e">
        <f>ABS(Table2[[#This Row],[E - FP/G]]-Table2[[#This Row],[FP/G]])</f>
        <v>#N/A</v>
      </c>
    </row>
    <row r="214" spans="1:8" x14ac:dyDescent="0.25">
      <c r="A214" t="s">
        <v>941</v>
      </c>
      <c r="B214" t="s">
        <v>942</v>
      </c>
      <c r="C214" t="e">
        <f>VLOOKUP(A214,'Overall Results'!$B$2:$I$543,9,FALSE)</f>
        <v>#REF!</v>
      </c>
      <c r="D214" t="e">
        <f>VLOOKUP(A214,'Overall Results'!$B$2:$I$543,10,FALSE)</f>
        <v>#REF!</v>
      </c>
      <c r="E214" s="3">
        <v>148.85</v>
      </c>
      <c r="F214" s="3">
        <v>2.61</v>
      </c>
      <c r="G214" s="8" t="e">
        <f>ABS(Table2[[#This Row],[E - FPts]]-Table2[[#This Row],[FPts]])</f>
        <v>#REF!</v>
      </c>
      <c r="H214" s="8" t="e">
        <f>ABS(Table2[[#This Row],[E - FP/G]]-Table2[[#This Row],[FP/G]])</f>
        <v>#REF!</v>
      </c>
    </row>
    <row r="215" spans="1:8" x14ac:dyDescent="0.25">
      <c r="A215" t="s">
        <v>315</v>
      </c>
      <c r="B215" t="s">
        <v>316</v>
      </c>
      <c r="C215" t="e">
        <f>VLOOKUP(A215,'Overall Results'!$B$2:$I$543,9,FALSE)</f>
        <v>#REF!</v>
      </c>
      <c r="D215" t="e">
        <f>VLOOKUP(A215,'Overall Results'!$B$2:$I$543,10,FALSE)</f>
        <v>#REF!</v>
      </c>
      <c r="E215" s="3">
        <v>463.95</v>
      </c>
      <c r="F215" s="3">
        <v>5.66</v>
      </c>
      <c r="G215" s="8" t="e">
        <f>ABS(Table2[[#This Row],[E - FPts]]-Table2[[#This Row],[FPts]])</f>
        <v>#REF!</v>
      </c>
      <c r="H215" s="8" t="e">
        <f>ABS(Table2[[#This Row],[E - FP/G]]-Table2[[#This Row],[FP/G]])</f>
        <v>#REF!</v>
      </c>
    </row>
    <row r="216" spans="1:8" x14ac:dyDescent="0.25">
      <c r="A216" t="s">
        <v>657</v>
      </c>
      <c r="B216" t="s">
        <v>658</v>
      </c>
      <c r="C216" t="e">
        <f>VLOOKUP(A216,'Overall Results'!$B$2:$I$543,9,FALSE)</f>
        <v>#REF!</v>
      </c>
      <c r="D216" t="e">
        <f>VLOOKUP(A216,'Overall Results'!$B$2:$I$543,10,FALSE)</f>
        <v>#REF!</v>
      </c>
      <c r="E216" s="3">
        <v>269.64999999999998</v>
      </c>
      <c r="F216" s="3">
        <v>3.46</v>
      </c>
      <c r="G216" s="8" t="e">
        <f>ABS(Table2[[#This Row],[E - FPts]]-Table2[[#This Row],[FPts]])</f>
        <v>#REF!</v>
      </c>
      <c r="H216" s="8" t="e">
        <f>ABS(Table2[[#This Row],[E - FP/G]]-Table2[[#This Row],[FP/G]])</f>
        <v>#REF!</v>
      </c>
    </row>
    <row r="217" spans="1:8" x14ac:dyDescent="0.25">
      <c r="A217" t="s">
        <v>1295</v>
      </c>
      <c r="B217" t="s">
        <v>1296</v>
      </c>
      <c r="C217" t="e">
        <f>VLOOKUP(A217,'Overall Results'!$B$2:$I$543,9,FALSE)</f>
        <v>#N/A</v>
      </c>
      <c r="D217" t="e">
        <f>VLOOKUP(A217,'Overall Results'!$B$2:$I$543,10,FALSE)</f>
        <v>#N/A</v>
      </c>
      <c r="E217" s="3">
        <v>50.95</v>
      </c>
      <c r="F217" s="3">
        <v>1.1299999999999999</v>
      </c>
      <c r="G217" s="8" t="e">
        <f>ABS(Table2[[#This Row],[E - FPts]]-Table2[[#This Row],[FPts]])</f>
        <v>#N/A</v>
      </c>
      <c r="H217" s="8" t="e">
        <f>ABS(Table2[[#This Row],[E - FP/G]]-Table2[[#This Row],[FP/G]])</f>
        <v>#N/A</v>
      </c>
    </row>
    <row r="218" spans="1:8" x14ac:dyDescent="0.25">
      <c r="A218" t="s">
        <v>151</v>
      </c>
      <c r="B218" t="s">
        <v>152</v>
      </c>
      <c r="C218" t="e">
        <f>VLOOKUP(A218,'Overall Results'!$B$2:$I$543,9,FALSE)</f>
        <v>#REF!</v>
      </c>
      <c r="D218" t="e">
        <f>VLOOKUP(A218,'Overall Results'!$B$2:$I$543,10,FALSE)</f>
        <v>#REF!</v>
      </c>
      <c r="E218" s="3">
        <v>474.65</v>
      </c>
      <c r="F218" s="3">
        <v>5.93</v>
      </c>
      <c r="G218" s="8" t="e">
        <f>ABS(Table2[[#This Row],[E - FPts]]-Table2[[#This Row],[FPts]])</f>
        <v>#REF!</v>
      </c>
      <c r="H218" s="8" t="e">
        <f>ABS(Table2[[#This Row],[E - FP/G]]-Table2[[#This Row],[FP/G]])</f>
        <v>#REF!</v>
      </c>
    </row>
    <row r="219" spans="1:8" x14ac:dyDescent="0.25">
      <c r="A219" t="s">
        <v>751</v>
      </c>
      <c r="B219" t="s">
        <v>752</v>
      </c>
      <c r="C219" t="e">
        <f>VLOOKUP(A219,'Overall Results'!$B$2:$I$543,9,FALSE)</f>
        <v>#REF!</v>
      </c>
      <c r="D219" t="e">
        <f>VLOOKUP(A219,'Overall Results'!$B$2:$I$543,10,FALSE)</f>
        <v>#REF!</v>
      </c>
      <c r="E219" s="3">
        <v>228.35</v>
      </c>
      <c r="F219" s="3">
        <v>2.97</v>
      </c>
      <c r="G219" s="8" t="e">
        <f>ABS(Table2[[#This Row],[E - FPts]]-Table2[[#This Row],[FPts]])</f>
        <v>#REF!</v>
      </c>
      <c r="H219" s="8" t="e">
        <f>ABS(Table2[[#This Row],[E - FP/G]]-Table2[[#This Row],[FP/G]])</f>
        <v>#REF!</v>
      </c>
    </row>
    <row r="220" spans="1:8" x14ac:dyDescent="0.25">
      <c r="A220" t="s">
        <v>387</v>
      </c>
      <c r="B220" t="s">
        <v>388</v>
      </c>
      <c r="C220" t="e">
        <f>VLOOKUP(A220,'Overall Results'!$B$2:$I$543,9,FALSE)</f>
        <v>#REF!</v>
      </c>
      <c r="D220" t="e">
        <f>VLOOKUP(A220,'Overall Results'!$B$2:$I$543,10,FALSE)</f>
        <v>#REF!</v>
      </c>
      <c r="E220" s="3">
        <v>343.4</v>
      </c>
      <c r="F220" s="3">
        <v>5.13</v>
      </c>
      <c r="G220" s="8" t="e">
        <f>ABS(Table2[[#This Row],[E - FPts]]-Table2[[#This Row],[FPts]])</f>
        <v>#REF!</v>
      </c>
      <c r="H220" s="8" t="e">
        <f>ABS(Table2[[#This Row],[E - FP/G]]-Table2[[#This Row],[FP/G]])</f>
        <v>#REF!</v>
      </c>
    </row>
    <row r="221" spans="1:8" x14ac:dyDescent="0.25">
      <c r="A221" t="s">
        <v>677</v>
      </c>
      <c r="B221" t="s">
        <v>678</v>
      </c>
      <c r="C221" t="e">
        <f>VLOOKUP(A221,'Overall Results'!$B$2:$I$543,9,FALSE)</f>
        <v>#REF!</v>
      </c>
      <c r="D221" t="e">
        <f>VLOOKUP(A221,'Overall Results'!$B$2:$I$543,10,FALSE)</f>
        <v>#REF!</v>
      </c>
      <c r="E221" s="3">
        <v>266.10000000000002</v>
      </c>
      <c r="F221" s="3">
        <v>3.75</v>
      </c>
      <c r="G221" s="8" t="e">
        <f>ABS(Table2[[#This Row],[E - FPts]]-Table2[[#This Row],[FPts]])</f>
        <v>#REF!</v>
      </c>
      <c r="H221" s="8" t="e">
        <f>ABS(Table2[[#This Row],[E - FP/G]]-Table2[[#This Row],[FP/G]])</f>
        <v>#REF!</v>
      </c>
    </row>
    <row r="222" spans="1:8" x14ac:dyDescent="0.25">
      <c r="A222" t="s">
        <v>105</v>
      </c>
      <c r="B222" t="s">
        <v>106</v>
      </c>
      <c r="C222" t="e">
        <f>VLOOKUP(A222,'Overall Results'!$B$2:$I$543,9,FALSE)</f>
        <v>#REF!</v>
      </c>
      <c r="D222" t="e">
        <f>VLOOKUP(A222,'Overall Results'!$B$2:$I$543,10,FALSE)</f>
        <v>#REF!</v>
      </c>
      <c r="E222" s="3">
        <v>647.79999999999995</v>
      </c>
      <c r="F222" s="3">
        <v>8.1</v>
      </c>
      <c r="G222" s="8" t="e">
        <f>ABS(Table2[[#This Row],[E - FPts]]-Table2[[#This Row],[FPts]])</f>
        <v>#REF!</v>
      </c>
      <c r="H222" s="8" t="e">
        <f>ABS(Table2[[#This Row],[E - FP/G]]-Table2[[#This Row],[FP/G]])</f>
        <v>#REF!</v>
      </c>
    </row>
    <row r="223" spans="1:8" x14ac:dyDescent="0.25">
      <c r="A223" t="s">
        <v>589</v>
      </c>
      <c r="B223" t="s">
        <v>590</v>
      </c>
      <c r="C223" t="e">
        <f>VLOOKUP(A223,'Overall Results'!$B$2:$I$543,9,FALSE)</f>
        <v>#REF!</v>
      </c>
      <c r="D223" t="e">
        <f>VLOOKUP(A223,'Overall Results'!$B$2:$I$543,10,FALSE)</f>
        <v>#REF!</v>
      </c>
      <c r="E223" s="3">
        <v>306.45</v>
      </c>
      <c r="F223" s="3">
        <v>3.74</v>
      </c>
      <c r="G223" s="8" t="e">
        <f>ABS(Table2[[#This Row],[E - FPts]]-Table2[[#This Row],[FPts]])</f>
        <v>#REF!</v>
      </c>
      <c r="H223" s="8" t="e">
        <f>ABS(Table2[[#This Row],[E - FP/G]]-Table2[[#This Row],[FP/G]])</f>
        <v>#REF!</v>
      </c>
    </row>
    <row r="224" spans="1:8" x14ac:dyDescent="0.25">
      <c r="A224" t="s">
        <v>509</v>
      </c>
      <c r="B224" t="s">
        <v>510</v>
      </c>
      <c r="C224" t="e">
        <f>VLOOKUP(A224,'Overall Results'!$B$2:$I$543,9,FALSE)</f>
        <v>#REF!</v>
      </c>
      <c r="D224" t="e">
        <f>VLOOKUP(A224,'Overall Results'!$B$2:$I$543,10,FALSE)</f>
        <v>#REF!</v>
      </c>
      <c r="E224" s="3">
        <v>111.25</v>
      </c>
      <c r="F224" s="3">
        <v>3.27</v>
      </c>
      <c r="G224" s="8" t="e">
        <f>ABS(Table2[[#This Row],[E - FPts]]-Table2[[#This Row],[FPts]])</f>
        <v>#REF!</v>
      </c>
      <c r="H224" s="8" t="e">
        <f>ABS(Table2[[#This Row],[E - FP/G]]-Table2[[#This Row],[FP/G]])</f>
        <v>#REF!</v>
      </c>
    </row>
    <row r="225" spans="1:8" x14ac:dyDescent="0.25">
      <c r="A225" t="s">
        <v>28</v>
      </c>
      <c r="B225" t="s">
        <v>29</v>
      </c>
      <c r="C225" t="e">
        <f>VLOOKUP(A225,'Overall Results'!$B$2:$I$543,9,FALSE)</f>
        <v>#REF!</v>
      </c>
      <c r="D225" t="e">
        <f>VLOOKUP(A225,'Overall Results'!$B$2:$I$543,10,FALSE)</f>
        <v>#REF!</v>
      </c>
      <c r="E225" s="3">
        <v>725.45</v>
      </c>
      <c r="F225" s="3">
        <v>9.07</v>
      </c>
      <c r="G225" s="8" t="e">
        <f>ABS(Table2[[#This Row],[E - FPts]]-Table2[[#This Row],[FPts]])</f>
        <v>#REF!</v>
      </c>
      <c r="H225" s="8" t="e">
        <f>ABS(Table2[[#This Row],[E - FP/G]]-Table2[[#This Row],[FP/G]])</f>
        <v>#REF!</v>
      </c>
    </row>
    <row r="226" spans="1:8" x14ac:dyDescent="0.25">
      <c r="A226" t="s">
        <v>1342</v>
      </c>
      <c r="B226" t="s">
        <v>1343</v>
      </c>
      <c r="C226" t="e">
        <f>VLOOKUP(A226,'Overall Results'!$B$2:$I$543,9,FALSE)</f>
        <v>#N/A</v>
      </c>
      <c r="D226" t="e">
        <f>VLOOKUP(A226,'Overall Results'!$B$2:$I$543,10,FALSE)</f>
        <v>#N/A</v>
      </c>
      <c r="E226" s="3">
        <v>32.549999999999997</v>
      </c>
      <c r="F226" s="3">
        <v>1.25</v>
      </c>
      <c r="G226" s="8" t="e">
        <f>ABS(Table2[[#This Row],[E - FPts]]-Table2[[#This Row],[FPts]])</f>
        <v>#N/A</v>
      </c>
      <c r="H226" s="8" t="e">
        <f>ABS(Table2[[#This Row],[E - FP/G]]-Table2[[#This Row],[FP/G]])</f>
        <v>#N/A</v>
      </c>
    </row>
    <row r="227" spans="1:8" x14ac:dyDescent="0.25">
      <c r="A227" t="s">
        <v>1306</v>
      </c>
      <c r="B227" t="s">
        <v>1307</v>
      </c>
      <c r="C227" t="e">
        <f>VLOOKUP(A227,'Overall Results'!$B$2:$I$543,9,FALSE)</f>
        <v>#N/A</v>
      </c>
      <c r="D227" t="e">
        <f>VLOOKUP(A227,'Overall Results'!$B$2:$I$543,10,FALSE)</f>
        <v>#N/A</v>
      </c>
      <c r="E227" s="3">
        <v>53.3</v>
      </c>
      <c r="F227" s="3">
        <v>2.13</v>
      </c>
      <c r="G227" s="8" t="e">
        <f>ABS(Table2[[#This Row],[E - FPts]]-Table2[[#This Row],[FPts]])</f>
        <v>#N/A</v>
      </c>
      <c r="H227" s="8" t="e">
        <f>ABS(Table2[[#This Row],[E - FP/G]]-Table2[[#This Row],[FP/G]])</f>
        <v>#N/A</v>
      </c>
    </row>
    <row r="228" spans="1:8" x14ac:dyDescent="0.25">
      <c r="A228" t="s">
        <v>733</v>
      </c>
      <c r="B228" t="s">
        <v>734</v>
      </c>
      <c r="C228" t="e">
        <f>VLOOKUP(A228,'Overall Results'!$B$2:$I$543,9,FALSE)</f>
        <v>#REF!</v>
      </c>
      <c r="D228" t="e">
        <f>VLOOKUP(A228,'Overall Results'!$B$2:$I$543,10,FALSE)</f>
        <v>#REF!</v>
      </c>
      <c r="E228" s="3">
        <v>251</v>
      </c>
      <c r="F228" s="3">
        <v>3.18</v>
      </c>
      <c r="G228" s="8" t="e">
        <f>ABS(Table2[[#This Row],[E - FPts]]-Table2[[#This Row],[FPts]])</f>
        <v>#REF!</v>
      </c>
      <c r="H228" s="8" t="e">
        <f>ABS(Table2[[#This Row],[E - FP/G]]-Table2[[#This Row],[FP/G]])</f>
        <v>#REF!</v>
      </c>
    </row>
    <row r="229" spans="1:8" x14ac:dyDescent="0.25">
      <c r="A229" t="s">
        <v>885</v>
      </c>
      <c r="B229" t="s">
        <v>886</v>
      </c>
      <c r="C229" t="e">
        <f>VLOOKUP(A229,'Overall Results'!$B$2:$I$543,9,FALSE)</f>
        <v>#REF!</v>
      </c>
      <c r="D229" t="e">
        <f>VLOOKUP(A229,'Overall Results'!$B$2:$I$543,10,FALSE)</f>
        <v>#REF!</v>
      </c>
      <c r="E229" s="3">
        <v>194.9</v>
      </c>
      <c r="F229" s="3">
        <v>2.78</v>
      </c>
      <c r="G229" s="8" t="e">
        <f>ABS(Table2[[#This Row],[E - FPts]]-Table2[[#This Row],[FPts]])</f>
        <v>#REF!</v>
      </c>
      <c r="H229" s="8" t="e">
        <f>ABS(Table2[[#This Row],[E - FP/G]]-Table2[[#This Row],[FP/G]])</f>
        <v>#REF!</v>
      </c>
    </row>
    <row r="230" spans="1:8" x14ac:dyDescent="0.25">
      <c r="A230" t="s">
        <v>815</v>
      </c>
      <c r="B230" t="s">
        <v>816</v>
      </c>
      <c r="C230" t="e">
        <f>VLOOKUP(A230,'Overall Results'!$B$2:$I$543,9,FALSE)</f>
        <v>#REF!</v>
      </c>
      <c r="D230" t="e">
        <f>VLOOKUP(A230,'Overall Results'!$B$2:$I$543,10,FALSE)</f>
        <v>#REF!</v>
      </c>
      <c r="E230" s="3">
        <v>269.8</v>
      </c>
      <c r="F230" s="3">
        <v>3.29</v>
      </c>
      <c r="G230" s="8" t="e">
        <f>ABS(Table2[[#This Row],[E - FPts]]-Table2[[#This Row],[FPts]])</f>
        <v>#REF!</v>
      </c>
      <c r="H230" s="8" t="e">
        <f>ABS(Table2[[#This Row],[E - FP/G]]-Table2[[#This Row],[FP/G]])</f>
        <v>#REF!</v>
      </c>
    </row>
    <row r="231" spans="1:8" x14ac:dyDescent="0.25">
      <c r="A231" t="s">
        <v>931</v>
      </c>
      <c r="B231" t="s">
        <v>932</v>
      </c>
      <c r="C231" t="e">
        <f>VLOOKUP(A231,'Overall Results'!$B$2:$I$543,9,FALSE)</f>
        <v>#REF!</v>
      </c>
      <c r="D231" t="e">
        <f>VLOOKUP(A231,'Overall Results'!$B$2:$I$543,10,FALSE)</f>
        <v>#REF!</v>
      </c>
      <c r="E231" s="3">
        <v>117.25</v>
      </c>
      <c r="F231" s="3">
        <v>3.01</v>
      </c>
      <c r="G231" s="8" t="e">
        <f>ABS(Table2[[#This Row],[E - FPts]]-Table2[[#This Row],[FPts]])</f>
        <v>#REF!</v>
      </c>
      <c r="H231" s="8" t="e">
        <f>ABS(Table2[[#This Row],[E - FP/G]]-Table2[[#This Row],[FP/G]])</f>
        <v>#REF!</v>
      </c>
    </row>
    <row r="232" spans="1:8" x14ac:dyDescent="0.25">
      <c r="A232" t="s">
        <v>1027</v>
      </c>
      <c r="B232" t="s">
        <v>1028</v>
      </c>
      <c r="C232" t="e">
        <f>VLOOKUP(A232,'Overall Results'!$B$2:$I$543,9,FALSE)</f>
        <v>#REF!</v>
      </c>
      <c r="D232" t="e">
        <f>VLOOKUP(A232,'Overall Results'!$B$2:$I$543,10,FALSE)</f>
        <v>#REF!</v>
      </c>
      <c r="E232" s="3">
        <v>145.30000000000001</v>
      </c>
      <c r="F232" s="3">
        <v>2.31</v>
      </c>
      <c r="G232" s="8" t="e">
        <f>ABS(Table2[[#This Row],[E - FPts]]-Table2[[#This Row],[FPts]])</f>
        <v>#REF!</v>
      </c>
      <c r="H232" s="8" t="e">
        <f>ABS(Table2[[#This Row],[E - FP/G]]-Table2[[#This Row],[FP/G]])</f>
        <v>#REF!</v>
      </c>
    </row>
    <row r="233" spans="1:8" x14ac:dyDescent="0.25">
      <c r="A233" t="s">
        <v>1191</v>
      </c>
      <c r="B233" t="s">
        <v>1192</v>
      </c>
      <c r="C233" t="e">
        <f>VLOOKUP(A233,'Overall Results'!$B$2:$I$543,9,FALSE)</f>
        <v>#N/A</v>
      </c>
      <c r="D233" t="e">
        <f>VLOOKUP(A233,'Overall Results'!$B$2:$I$543,10,FALSE)</f>
        <v>#N/A</v>
      </c>
      <c r="E233" s="3">
        <v>65.25</v>
      </c>
      <c r="F233" s="3">
        <v>1.86</v>
      </c>
      <c r="G233" s="8" t="e">
        <f>ABS(Table2[[#This Row],[E - FPts]]-Table2[[#This Row],[FPts]])</f>
        <v>#N/A</v>
      </c>
      <c r="H233" s="8" t="e">
        <f>ABS(Table2[[#This Row],[E - FP/G]]-Table2[[#This Row],[FP/G]])</f>
        <v>#N/A</v>
      </c>
    </row>
    <row r="234" spans="1:8" x14ac:dyDescent="0.25">
      <c r="A234" t="s">
        <v>849</v>
      </c>
      <c r="B234" t="s">
        <v>850</v>
      </c>
      <c r="C234" t="e">
        <f>VLOOKUP(A234,'Overall Results'!$B$2:$I$543,9,FALSE)</f>
        <v>#REF!</v>
      </c>
      <c r="D234" t="e">
        <f>VLOOKUP(A234,'Overall Results'!$B$2:$I$543,10,FALSE)</f>
        <v>#REF!</v>
      </c>
      <c r="E234" s="3">
        <v>215.25</v>
      </c>
      <c r="F234" s="3">
        <v>2.95</v>
      </c>
      <c r="G234" s="8" t="e">
        <f>ABS(Table2[[#This Row],[E - FPts]]-Table2[[#This Row],[FPts]])</f>
        <v>#REF!</v>
      </c>
      <c r="H234" s="8" t="e">
        <f>ABS(Table2[[#This Row],[E - FP/G]]-Table2[[#This Row],[FP/G]])</f>
        <v>#REF!</v>
      </c>
    </row>
    <row r="235" spans="1:8" x14ac:dyDescent="0.25">
      <c r="A235" t="s">
        <v>283</v>
      </c>
      <c r="B235" t="s">
        <v>284</v>
      </c>
      <c r="C235" t="e">
        <f>VLOOKUP(A235,'Overall Results'!$B$2:$I$543,9,FALSE)</f>
        <v>#REF!</v>
      </c>
      <c r="D235" t="e">
        <f>VLOOKUP(A235,'Overall Results'!$B$2:$I$543,10,FALSE)</f>
        <v>#REF!</v>
      </c>
      <c r="E235" s="3">
        <v>438.05</v>
      </c>
      <c r="F235" s="3">
        <v>5.34</v>
      </c>
      <c r="G235" s="8" t="e">
        <f>ABS(Table2[[#This Row],[E - FPts]]-Table2[[#This Row],[FPts]])</f>
        <v>#REF!</v>
      </c>
      <c r="H235" s="8" t="e">
        <f>ABS(Table2[[#This Row],[E - FP/G]]-Table2[[#This Row],[FP/G]])</f>
        <v>#REF!</v>
      </c>
    </row>
    <row r="236" spans="1:8" x14ac:dyDescent="0.25">
      <c r="A236" t="s">
        <v>543</v>
      </c>
      <c r="B236" t="s">
        <v>544</v>
      </c>
      <c r="C236" t="e">
        <f>VLOOKUP(A236,'Overall Results'!$B$2:$I$543,9,FALSE)</f>
        <v>#REF!</v>
      </c>
      <c r="D236" t="e">
        <f>VLOOKUP(A236,'Overall Results'!$B$2:$I$543,10,FALSE)</f>
        <v>#REF!</v>
      </c>
      <c r="E236" s="3">
        <v>309.3</v>
      </c>
      <c r="F236" s="3">
        <v>3.82</v>
      </c>
      <c r="G236" s="8" t="e">
        <f>ABS(Table2[[#This Row],[E - FPts]]-Table2[[#This Row],[FPts]])</f>
        <v>#REF!</v>
      </c>
      <c r="H236" s="8" t="e">
        <f>ABS(Table2[[#This Row],[E - FP/G]]-Table2[[#This Row],[FP/G]])</f>
        <v>#REF!</v>
      </c>
    </row>
    <row r="237" spans="1:8" x14ac:dyDescent="0.25">
      <c r="A237" t="s">
        <v>34</v>
      </c>
      <c r="B237" t="s">
        <v>35</v>
      </c>
      <c r="C237" t="e">
        <f>VLOOKUP(A237,'Overall Results'!$B$2:$I$543,9,FALSE)</f>
        <v>#REF!</v>
      </c>
      <c r="D237" t="e">
        <f>VLOOKUP(A237,'Overall Results'!$B$2:$I$543,10,FALSE)</f>
        <v>#REF!</v>
      </c>
      <c r="E237" s="3">
        <v>626.4</v>
      </c>
      <c r="F237" s="3">
        <v>7.93</v>
      </c>
      <c r="G237" s="8" t="e">
        <f>ABS(Table2[[#This Row],[E - FPts]]-Table2[[#This Row],[FPts]])</f>
        <v>#REF!</v>
      </c>
      <c r="H237" s="8" t="e">
        <f>ABS(Table2[[#This Row],[E - FP/G]]-Table2[[#This Row],[FP/G]])</f>
        <v>#REF!</v>
      </c>
    </row>
    <row r="238" spans="1:8" x14ac:dyDescent="0.25">
      <c r="A238" t="s">
        <v>723</v>
      </c>
      <c r="B238" t="s">
        <v>724</v>
      </c>
      <c r="C238" t="e">
        <f>VLOOKUP(A238,'Overall Results'!$B$2:$I$543,9,FALSE)</f>
        <v>#REF!</v>
      </c>
      <c r="D238" t="e">
        <f>VLOOKUP(A238,'Overall Results'!$B$2:$I$543,10,FALSE)</f>
        <v>#REF!</v>
      </c>
      <c r="E238" s="3">
        <v>138.1</v>
      </c>
      <c r="F238" s="3">
        <v>3.37</v>
      </c>
      <c r="G238" s="8" t="e">
        <f>ABS(Table2[[#This Row],[E - FPts]]-Table2[[#This Row],[FPts]])</f>
        <v>#REF!</v>
      </c>
      <c r="H238" s="8" t="e">
        <f>ABS(Table2[[#This Row],[E - FP/G]]-Table2[[#This Row],[FP/G]])</f>
        <v>#REF!</v>
      </c>
    </row>
    <row r="239" spans="1:8" x14ac:dyDescent="0.25">
      <c r="A239" t="s">
        <v>811</v>
      </c>
      <c r="B239" t="s">
        <v>812</v>
      </c>
      <c r="C239" t="e">
        <f>VLOOKUP(A239,'Overall Results'!$B$2:$I$543,9,FALSE)</f>
        <v>#REF!</v>
      </c>
      <c r="D239" t="e">
        <f>VLOOKUP(A239,'Overall Results'!$B$2:$I$543,10,FALSE)</f>
        <v>#REF!</v>
      </c>
      <c r="E239" s="3">
        <v>215.95</v>
      </c>
      <c r="F239" s="3">
        <v>2.84</v>
      </c>
      <c r="G239" s="8" t="e">
        <f>ABS(Table2[[#This Row],[E - FPts]]-Table2[[#This Row],[FPts]])</f>
        <v>#REF!</v>
      </c>
      <c r="H239" s="8" t="e">
        <f>ABS(Table2[[#This Row],[E - FP/G]]-Table2[[#This Row],[FP/G]])</f>
        <v>#REF!</v>
      </c>
    </row>
    <row r="240" spans="1:8" x14ac:dyDescent="0.25">
      <c r="A240" t="s">
        <v>1181</v>
      </c>
      <c r="B240" t="s">
        <v>1182</v>
      </c>
      <c r="C240" t="e">
        <f>VLOOKUP(A240,'Overall Results'!$B$2:$I$543,9,FALSE)</f>
        <v>#REF!</v>
      </c>
      <c r="D240" t="e">
        <f>VLOOKUP(A240,'Overall Results'!$B$2:$I$543,10,FALSE)</f>
        <v>#REF!</v>
      </c>
      <c r="E240" s="3">
        <v>108.45</v>
      </c>
      <c r="F240" s="3">
        <v>2.0499999999999998</v>
      </c>
      <c r="G240" s="8" t="e">
        <f>ABS(Table2[[#This Row],[E - FPts]]-Table2[[#This Row],[FPts]])</f>
        <v>#REF!</v>
      </c>
      <c r="H240" s="8" t="e">
        <f>ABS(Table2[[#This Row],[E - FP/G]]-Table2[[#This Row],[FP/G]])</f>
        <v>#REF!</v>
      </c>
    </row>
    <row r="241" spans="1:8" x14ac:dyDescent="0.25">
      <c r="A241" t="s">
        <v>879</v>
      </c>
      <c r="B241" t="s">
        <v>880</v>
      </c>
      <c r="C241" t="e">
        <f>VLOOKUP(A241,'Overall Results'!$B$2:$I$543,9,FALSE)</f>
        <v>#REF!</v>
      </c>
      <c r="D241" t="e">
        <f>VLOOKUP(A241,'Overall Results'!$B$2:$I$543,10,FALSE)</f>
        <v>#REF!</v>
      </c>
      <c r="E241" s="3">
        <v>175.2</v>
      </c>
      <c r="F241" s="3">
        <v>2.4300000000000002</v>
      </c>
      <c r="G241" s="8" t="e">
        <f>ABS(Table2[[#This Row],[E - FPts]]-Table2[[#This Row],[FPts]])</f>
        <v>#REF!</v>
      </c>
      <c r="H241" s="8" t="e">
        <f>ABS(Table2[[#This Row],[E - FP/G]]-Table2[[#This Row],[FP/G]])</f>
        <v>#REF!</v>
      </c>
    </row>
    <row r="242" spans="1:8" x14ac:dyDescent="0.25">
      <c r="A242" t="s">
        <v>206</v>
      </c>
      <c r="B242" t="s">
        <v>207</v>
      </c>
      <c r="C242" t="e">
        <f>VLOOKUP(A242,'Overall Results'!$B$2:$I$543,9,FALSE)</f>
        <v>#REF!</v>
      </c>
      <c r="D242" t="e">
        <f>VLOOKUP(A242,'Overall Results'!$B$2:$I$543,10,FALSE)</f>
        <v>#REF!</v>
      </c>
      <c r="E242" s="3">
        <v>527.95000000000005</v>
      </c>
      <c r="F242" s="3">
        <v>6.44</v>
      </c>
      <c r="G242" s="8" t="e">
        <f>ABS(Table2[[#This Row],[E - FPts]]-Table2[[#This Row],[FPts]])</f>
        <v>#REF!</v>
      </c>
      <c r="H242" s="8" t="e">
        <f>ABS(Table2[[#This Row],[E - FP/G]]-Table2[[#This Row],[FP/G]])</f>
        <v>#REF!</v>
      </c>
    </row>
    <row r="243" spans="1:8" x14ac:dyDescent="0.25">
      <c r="A243" t="s">
        <v>607</v>
      </c>
      <c r="B243" t="s">
        <v>608</v>
      </c>
      <c r="C243" t="e">
        <f>VLOOKUP(A243,'Overall Results'!$B$2:$I$543,9,FALSE)</f>
        <v>#REF!</v>
      </c>
      <c r="D243" t="e">
        <f>VLOOKUP(A243,'Overall Results'!$B$2:$I$543,10,FALSE)</f>
        <v>#REF!</v>
      </c>
      <c r="E243" s="3">
        <v>196</v>
      </c>
      <c r="F243" s="3">
        <v>4.17</v>
      </c>
      <c r="G243" s="8" t="e">
        <f>ABS(Table2[[#This Row],[E - FPts]]-Table2[[#This Row],[FPts]])</f>
        <v>#REF!</v>
      </c>
      <c r="H243" s="8" t="e">
        <f>ABS(Table2[[#This Row],[E - FP/G]]-Table2[[#This Row],[FP/G]])</f>
        <v>#REF!</v>
      </c>
    </row>
    <row r="244" spans="1:8" x14ac:dyDescent="0.25">
      <c r="A244" t="s">
        <v>1073</v>
      </c>
      <c r="B244" t="s">
        <v>1074</v>
      </c>
      <c r="C244" t="e">
        <f>VLOOKUP(A244,'Overall Results'!$B$2:$I$543,9,FALSE)</f>
        <v>#REF!</v>
      </c>
      <c r="D244" t="e">
        <f>VLOOKUP(A244,'Overall Results'!$B$2:$I$543,10,FALSE)</f>
        <v>#REF!</v>
      </c>
      <c r="E244" s="3">
        <v>179.8</v>
      </c>
      <c r="F244" s="3">
        <v>2.25</v>
      </c>
      <c r="G244" s="8" t="e">
        <f>ABS(Table2[[#This Row],[E - FPts]]-Table2[[#This Row],[FPts]])</f>
        <v>#REF!</v>
      </c>
      <c r="H244" s="8" t="e">
        <f>ABS(Table2[[#This Row],[E - FP/G]]-Table2[[#This Row],[FP/G]])</f>
        <v>#REF!</v>
      </c>
    </row>
    <row r="245" spans="1:8" x14ac:dyDescent="0.25">
      <c r="A245" t="s">
        <v>985</v>
      </c>
      <c r="B245" t="s">
        <v>986</v>
      </c>
      <c r="C245" t="e">
        <f>VLOOKUP(A245,'Overall Results'!$B$2:$I$543,9,FALSE)</f>
        <v>#N/A</v>
      </c>
      <c r="D245" t="e">
        <f>VLOOKUP(A245,'Overall Results'!$B$2:$I$543,10,FALSE)</f>
        <v>#N/A</v>
      </c>
      <c r="E245" s="3">
        <v>156.75</v>
      </c>
      <c r="F245" s="3">
        <v>2.34</v>
      </c>
      <c r="G245" s="8" t="e">
        <f>ABS(Table2[[#This Row],[E - FPts]]-Table2[[#This Row],[FPts]])</f>
        <v>#N/A</v>
      </c>
      <c r="H245" s="8" t="e">
        <f>ABS(Table2[[#This Row],[E - FP/G]]-Table2[[#This Row],[FP/G]])</f>
        <v>#N/A</v>
      </c>
    </row>
    <row r="246" spans="1:8" x14ac:dyDescent="0.25">
      <c r="A246" t="s">
        <v>365</v>
      </c>
      <c r="B246" t="s">
        <v>366</v>
      </c>
      <c r="C246" t="e">
        <f>VLOOKUP(A246,'Overall Results'!$B$2:$I$543,9,FALSE)</f>
        <v>#REF!</v>
      </c>
      <c r="D246" t="e">
        <f>VLOOKUP(A246,'Overall Results'!$B$2:$I$543,10,FALSE)</f>
        <v>#REF!</v>
      </c>
      <c r="E246" s="3">
        <v>274.85000000000002</v>
      </c>
      <c r="F246" s="3">
        <v>5.39</v>
      </c>
      <c r="G246" s="8" t="e">
        <f>ABS(Table2[[#This Row],[E - FPts]]-Table2[[#This Row],[FPts]])</f>
        <v>#REF!</v>
      </c>
      <c r="H246" s="8" t="e">
        <f>ABS(Table2[[#This Row],[E - FP/G]]-Table2[[#This Row],[FP/G]])</f>
        <v>#REF!</v>
      </c>
    </row>
    <row r="247" spans="1:8" x14ac:dyDescent="0.25">
      <c r="A247" t="s">
        <v>1508</v>
      </c>
      <c r="B247" t="s">
        <v>1509</v>
      </c>
      <c r="C247" t="e">
        <f>VLOOKUP(A247,'Overall Results'!$B$2:$I$543,9,FALSE)</f>
        <v>#N/A</v>
      </c>
      <c r="D247" t="e">
        <f>VLOOKUP(A247,'Overall Results'!$B$2:$I$543,10,FALSE)</f>
        <v>#N/A</v>
      </c>
      <c r="E247" s="3">
        <v>76.5</v>
      </c>
      <c r="F247" s="3">
        <v>1.82</v>
      </c>
      <c r="G247" s="8" t="e">
        <f>ABS(Table2[[#This Row],[E - FPts]]-Table2[[#This Row],[FPts]])</f>
        <v>#N/A</v>
      </c>
      <c r="H247" s="8" t="e">
        <f>ABS(Table2[[#This Row],[E - FP/G]]-Table2[[#This Row],[FP/G]])</f>
        <v>#N/A</v>
      </c>
    </row>
    <row r="248" spans="1:8" x14ac:dyDescent="0.25">
      <c r="A248" t="s">
        <v>313</v>
      </c>
      <c r="B248" t="s">
        <v>314</v>
      </c>
      <c r="C248" t="e">
        <f>VLOOKUP(A248,'Overall Results'!$B$2:$I$543,9,FALSE)</f>
        <v>#REF!</v>
      </c>
      <c r="D248" t="e">
        <f>VLOOKUP(A248,'Overall Results'!$B$2:$I$543,10,FALSE)</f>
        <v>#REF!</v>
      </c>
      <c r="E248" s="3">
        <v>512.6</v>
      </c>
      <c r="F248" s="3">
        <v>6.57</v>
      </c>
      <c r="G248" s="8" t="e">
        <f>ABS(Table2[[#This Row],[E - FPts]]-Table2[[#This Row],[FPts]])</f>
        <v>#REF!</v>
      </c>
      <c r="H248" s="8" t="e">
        <f>ABS(Table2[[#This Row],[E - FP/G]]-Table2[[#This Row],[FP/G]])</f>
        <v>#REF!</v>
      </c>
    </row>
    <row r="249" spans="1:8" x14ac:dyDescent="0.25">
      <c r="A249" t="s">
        <v>1021</v>
      </c>
      <c r="B249" t="s">
        <v>1022</v>
      </c>
      <c r="C249" t="e">
        <f>VLOOKUP(A249,'Overall Results'!$B$2:$I$543,9,FALSE)</f>
        <v>#N/A</v>
      </c>
      <c r="D249" t="e">
        <f>VLOOKUP(A249,'Overall Results'!$B$2:$I$543,10,FALSE)</f>
        <v>#N/A</v>
      </c>
      <c r="E249" s="3">
        <v>221.5</v>
      </c>
      <c r="F249" s="3">
        <v>2.7</v>
      </c>
      <c r="G249" s="8" t="e">
        <f>ABS(Table2[[#This Row],[E - FPts]]-Table2[[#This Row],[FPts]])</f>
        <v>#N/A</v>
      </c>
      <c r="H249" s="8" t="e">
        <f>ABS(Table2[[#This Row],[E - FP/G]]-Table2[[#This Row],[FP/G]])</f>
        <v>#N/A</v>
      </c>
    </row>
    <row r="250" spans="1:8" x14ac:dyDescent="0.25">
      <c r="A250" t="s">
        <v>619</v>
      </c>
      <c r="B250" t="s">
        <v>620</v>
      </c>
      <c r="C250" t="e">
        <f>VLOOKUP(A250,'Overall Results'!$B$2:$I$543,9,FALSE)</f>
        <v>#REF!</v>
      </c>
      <c r="D250" t="e">
        <f>VLOOKUP(A250,'Overall Results'!$B$2:$I$543,10,FALSE)</f>
        <v>#REF!</v>
      </c>
      <c r="E250" s="3">
        <v>346.1</v>
      </c>
      <c r="F250" s="3">
        <v>4.4400000000000004</v>
      </c>
      <c r="G250" s="8" t="e">
        <f>ABS(Table2[[#This Row],[E - FPts]]-Table2[[#This Row],[FPts]])</f>
        <v>#REF!</v>
      </c>
      <c r="H250" s="8" t="e">
        <f>ABS(Table2[[#This Row],[E - FP/G]]-Table2[[#This Row],[FP/G]])</f>
        <v>#REF!</v>
      </c>
    </row>
    <row r="251" spans="1:8" x14ac:dyDescent="0.25">
      <c r="A251" t="s">
        <v>1125</v>
      </c>
      <c r="B251" t="s">
        <v>1126</v>
      </c>
      <c r="C251" t="e">
        <f>VLOOKUP(A251,'Overall Results'!$B$2:$I$543,9,FALSE)</f>
        <v>#REF!</v>
      </c>
      <c r="D251" t="e">
        <f>VLOOKUP(A251,'Overall Results'!$B$2:$I$543,10,FALSE)</f>
        <v>#REF!</v>
      </c>
      <c r="E251" s="3">
        <v>180.55</v>
      </c>
      <c r="F251" s="3">
        <v>2.31</v>
      </c>
      <c r="G251" s="8" t="e">
        <f>ABS(Table2[[#This Row],[E - FPts]]-Table2[[#This Row],[FPts]])</f>
        <v>#REF!</v>
      </c>
      <c r="H251" s="8" t="e">
        <f>ABS(Table2[[#This Row],[E - FP/G]]-Table2[[#This Row],[FP/G]])</f>
        <v>#REF!</v>
      </c>
    </row>
    <row r="252" spans="1:8" x14ac:dyDescent="0.25">
      <c r="A252" t="s">
        <v>1075</v>
      </c>
      <c r="B252" t="s">
        <v>1076</v>
      </c>
      <c r="C252" t="e">
        <f>VLOOKUP(A252,'Overall Results'!$B$2:$I$543,9,FALSE)</f>
        <v>#N/A</v>
      </c>
      <c r="D252" t="e">
        <f>VLOOKUP(A252,'Overall Results'!$B$2:$I$543,10,FALSE)</f>
        <v>#N/A</v>
      </c>
      <c r="E252" s="3">
        <v>158.9</v>
      </c>
      <c r="F252" s="3">
        <v>1.96</v>
      </c>
      <c r="G252" s="8" t="e">
        <f>ABS(Table2[[#This Row],[E - FPts]]-Table2[[#This Row],[FPts]])</f>
        <v>#N/A</v>
      </c>
      <c r="H252" s="8" t="e">
        <f>ABS(Table2[[#This Row],[E - FP/G]]-Table2[[#This Row],[FP/G]])</f>
        <v>#N/A</v>
      </c>
    </row>
    <row r="253" spans="1:8" x14ac:dyDescent="0.25">
      <c r="A253" t="s">
        <v>1245</v>
      </c>
      <c r="B253" t="s">
        <v>1246</v>
      </c>
      <c r="C253" t="e">
        <f>VLOOKUP(A253,'Overall Results'!$B$2:$I$543,9,FALSE)</f>
        <v>#N/A</v>
      </c>
      <c r="D253" t="e">
        <f>VLOOKUP(A253,'Overall Results'!$B$2:$I$543,10,FALSE)</f>
        <v>#N/A</v>
      </c>
      <c r="E253" s="3">
        <v>14.9</v>
      </c>
      <c r="F253" s="3">
        <v>1.35</v>
      </c>
      <c r="G253" s="8" t="e">
        <f>ABS(Table2[[#This Row],[E - FPts]]-Table2[[#This Row],[FPts]])</f>
        <v>#N/A</v>
      </c>
      <c r="H253" s="8" t="e">
        <f>ABS(Table2[[#This Row],[E - FP/G]]-Table2[[#This Row],[FP/G]])</f>
        <v>#N/A</v>
      </c>
    </row>
    <row r="254" spans="1:8" x14ac:dyDescent="0.25">
      <c r="A254" t="s">
        <v>883</v>
      </c>
      <c r="B254" t="s">
        <v>884</v>
      </c>
      <c r="C254" t="e">
        <f>VLOOKUP(A254,'Overall Results'!$B$2:$I$543,9,FALSE)</f>
        <v>#REF!</v>
      </c>
      <c r="D254" t="e">
        <f>VLOOKUP(A254,'Overall Results'!$B$2:$I$543,10,FALSE)</f>
        <v>#REF!</v>
      </c>
      <c r="E254" s="3">
        <v>244.4</v>
      </c>
      <c r="F254" s="3">
        <v>3.13</v>
      </c>
      <c r="G254" s="8" t="e">
        <f>ABS(Table2[[#This Row],[E - FPts]]-Table2[[#This Row],[FPts]])</f>
        <v>#REF!</v>
      </c>
      <c r="H254" s="8" t="e">
        <f>ABS(Table2[[#This Row],[E - FP/G]]-Table2[[#This Row],[FP/G]])</f>
        <v>#REF!</v>
      </c>
    </row>
    <row r="255" spans="1:8" x14ac:dyDescent="0.25">
      <c r="A255" t="s">
        <v>1121</v>
      </c>
      <c r="B255" t="s">
        <v>1122</v>
      </c>
      <c r="C255" t="e">
        <f>VLOOKUP(A255,'Overall Results'!$B$2:$I$543,9,FALSE)</f>
        <v>#N/A</v>
      </c>
      <c r="D255" t="e">
        <f>VLOOKUP(A255,'Overall Results'!$B$2:$I$543,10,FALSE)</f>
        <v>#N/A</v>
      </c>
      <c r="E255" s="3">
        <v>63.05</v>
      </c>
      <c r="F255" s="3">
        <v>1.97</v>
      </c>
      <c r="G255" s="8" t="e">
        <f>ABS(Table2[[#This Row],[E - FPts]]-Table2[[#This Row],[FPts]])</f>
        <v>#N/A</v>
      </c>
      <c r="H255" s="8" t="e">
        <f>ABS(Table2[[#This Row],[E - FP/G]]-Table2[[#This Row],[FP/G]])</f>
        <v>#N/A</v>
      </c>
    </row>
    <row r="256" spans="1:8" x14ac:dyDescent="0.25">
      <c r="A256" t="s">
        <v>51</v>
      </c>
      <c r="B256" t="s">
        <v>52</v>
      </c>
      <c r="C256" t="e">
        <f>VLOOKUP(A256,'Overall Results'!$B$2:$I$543,9,FALSE)</f>
        <v>#REF!</v>
      </c>
      <c r="D256" t="e">
        <f>VLOOKUP(A256,'Overall Results'!$B$2:$I$543,10,FALSE)</f>
        <v>#REF!</v>
      </c>
      <c r="E256" s="3">
        <v>535.75</v>
      </c>
      <c r="F256" s="3">
        <v>6.53</v>
      </c>
      <c r="G256" s="8" t="e">
        <f>ABS(Table2[[#This Row],[E - FPts]]-Table2[[#This Row],[FPts]])</f>
        <v>#REF!</v>
      </c>
      <c r="H256" s="8" t="e">
        <f>ABS(Table2[[#This Row],[E - FP/G]]-Table2[[#This Row],[FP/G]])</f>
        <v>#REF!</v>
      </c>
    </row>
    <row r="257" spans="1:8" x14ac:dyDescent="0.25">
      <c r="A257" t="s">
        <v>265</v>
      </c>
      <c r="B257" t="s">
        <v>266</v>
      </c>
      <c r="C257" t="e">
        <f>VLOOKUP(A257,'Overall Results'!$B$2:$I$543,9,FALSE)</f>
        <v>#REF!</v>
      </c>
      <c r="D257" t="e">
        <f>VLOOKUP(A257,'Overall Results'!$B$2:$I$543,10,FALSE)</f>
        <v>#REF!</v>
      </c>
      <c r="E257" s="3">
        <v>421.85</v>
      </c>
      <c r="F257" s="3">
        <v>5.41</v>
      </c>
      <c r="G257" s="8" t="e">
        <f>ABS(Table2[[#This Row],[E - FPts]]-Table2[[#This Row],[FPts]])</f>
        <v>#REF!</v>
      </c>
      <c r="H257" s="8" t="e">
        <f>ABS(Table2[[#This Row],[E - FP/G]]-Table2[[#This Row],[FP/G]])</f>
        <v>#REF!</v>
      </c>
    </row>
    <row r="258" spans="1:8" x14ac:dyDescent="0.25">
      <c r="A258" t="s">
        <v>1275</v>
      </c>
      <c r="B258" t="s">
        <v>1276</v>
      </c>
      <c r="C258" t="e">
        <f>VLOOKUP(A258,'Overall Results'!$B$2:$I$543,9,FALSE)</f>
        <v>#N/A</v>
      </c>
      <c r="D258" t="e">
        <f>VLOOKUP(A258,'Overall Results'!$B$2:$I$543,10,FALSE)</f>
        <v>#N/A</v>
      </c>
      <c r="E258" s="3">
        <v>0.95</v>
      </c>
      <c r="F258" s="3">
        <v>0.95</v>
      </c>
      <c r="G258" s="8" t="e">
        <f>ABS(Table2[[#This Row],[E - FPts]]-Table2[[#This Row],[FPts]])</f>
        <v>#N/A</v>
      </c>
      <c r="H258" s="8" t="e">
        <f>ABS(Table2[[#This Row],[E - FP/G]]-Table2[[#This Row],[FP/G]])</f>
        <v>#N/A</v>
      </c>
    </row>
    <row r="259" spans="1:8" x14ac:dyDescent="0.25">
      <c r="A259" t="s">
        <v>933</v>
      </c>
      <c r="B259" t="s">
        <v>934</v>
      </c>
      <c r="C259" t="e">
        <f>VLOOKUP(A259,'Overall Results'!$B$2:$I$543,9,FALSE)</f>
        <v>#REF!</v>
      </c>
      <c r="D259" t="e">
        <f>VLOOKUP(A259,'Overall Results'!$B$2:$I$543,10,FALSE)</f>
        <v>#REF!</v>
      </c>
      <c r="E259" s="3">
        <v>205.4</v>
      </c>
      <c r="F259" s="3">
        <v>2.7</v>
      </c>
      <c r="G259" s="8" t="e">
        <f>ABS(Table2[[#This Row],[E - FPts]]-Table2[[#This Row],[FPts]])</f>
        <v>#REF!</v>
      </c>
      <c r="H259" s="8" t="e">
        <f>ABS(Table2[[#This Row],[E - FP/G]]-Table2[[#This Row],[FP/G]])</f>
        <v>#REF!</v>
      </c>
    </row>
    <row r="260" spans="1:8" x14ac:dyDescent="0.25">
      <c r="A260" t="s">
        <v>255</v>
      </c>
      <c r="B260" t="s">
        <v>256</v>
      </c>
      <c r="C260" t="e">
        <f>VLOOKUP(A260,'Overall Results'!$B$2:$I$543,9,FALSE)</f>
        <v>#REF!</v>
      </c>
      <c r="D260" t="e">
        <f>VLOOKUP(A260,'Overall Results'!$B$2:$I$543,10,FALSE)</f>
        <v>#REF!</v>
      </c>
      <c r="E260" s="3">
        <v>454.8</v>
      </c>
      <c r="F260" s="3">
        <v>5.55</v>
      </c>
      <c r="G260" s="8" t="e">
        <f>ABS(Table2[[#This Row],[E - FPts]]-Table2[[#This Row],[FPts]])</f>
        <v>#REF!</v>
      </c>
      <c r="H260" s="8" t="e">
        <f>ABS(Table2[[#This Row],[E - FP/G]]-Table2[[#This Row],[FP/G]])</f>
        <v>#REF!</v>
      </c>
    </row>
    <row r="261" spans="1:8" x14ac:dyDescent="0.25">
      <c r="A261" t="s">
        <v>731</v>
      </c>
      <c r="B261" t="s">
        <v>732</v>
      </c>
      <c r="C261" t="e">
        <f>VLOOKUP(A261,'Overall Results'!$B$2:$I$543,9,FALSE)</f>
        <v>#REF!</v>
      </c>
      <c r="D261" t="e">
        <f>VLOOKUP(A261,'Overall Results'!$B$2:$I$543,10,FALSE)</f>
        <v>#REF!</v>
      </c>
      <c r="E261" s="3">
        <v>284.05</v>
      </c>
      <c r="F261" s="3">
        <v>3.64</v>
      </c>
      <c r="G261" s="8" t="e">
        <f>ABS(Table2[[#This Row],[E - FPts]]-Table2[[#This Row],[FPts]])</f>
        <v>#REF!</v>
      </c>
      <c r="H261" s="8" t="e">
        <f>ABS(Table2[[#This Row],[E - FP/G]]-Table2[[#This Row],[FP/G]])</f>
        <v>#REF!</v>
      </c>
    </row>
    <row r="262" spans="1:8" x14ac:dyDescent="0.25">
      <c r="A262" t="s">
        <v>915</v>
      </c>
      <c r="B262" t="s">
        <v>916</v>
      </c>
      <c r="C262" t="e">
        <f>VLOOKUP(A262,'Overall Results'!$B$2:$I$543,9,FALSE)</f>
        <v>#REF!</v>
      </c>
      <c r="D262" t="e">
        <f>VLOOKUP(A262,'Overall Results'!$B$2:$I$543,10,FALSE)</f>
        <v>#REF!</v>
      </c>
      <c r="E262" s="3">
        <v>112.7</v>
      </c>
      <c r="F262" s="3">
        <v>2.75</v>
      </c>
      <c r="G262" s="8" t="e">
        <f>ABS(Table2[[#This Row],[E - FPts]]-Table2[[#This Row],[FPts]])</f>
        <v>#REF!</v>
      </c>
      <c r="H262" s="8" t="e">
        <f>ABS(Table2[[#This Row],[E - FP/G]]-Table2[[#This Row],[FP/G]])</f>
        <v>#REF!</v>
      </c>
    </row>
    <row r="263" spans="1:8" x14ac:dyDescent="0.25">
      <c r="A263" t="s">
        <v>385</v>
      </c>
      <c r="B263" t="s">
        <v>386</v>
      </c>
      <c r="C263" t="e">
        <f>VLOOKUP(A263,'Overall Results'!$B$2:$I$543,9,FALSE)</f>
        <v>#REF!</v>
      </c>
      <c r="D263" t="e">
        <f>VLOOKUP(A263,'Overall Results'!$B$2:$I$543,10,FALSE)</f>
        <v>#REF!</v>
      </c>
      <c r="E263" s="3">
        <v>319.3</v>
      </c>
      <c r="F263" s="3">
        <v>4.63</v>
      </c>
      <c r="G263" s="8" t="e">
        <f>ABS(Table2[[#This Row],[E - FPts]]-Table2[[#This Row],[FPts]])</f>
        <v>#REF!</v>
      </c>
      <c r="H263" s="8" t="e">
        <f>ABS(Table2[[#This Row],[E - FP/G]]-Table2[[#This Row],[FP/G]])</f>
        <v>#REF!</v>
      </c>
    </row>
    <row r="264" spans="1:8" x14ac:dyDescent="0.25">
      <c r="A264" t="s">
        <v>1023</v>
      </c>
      <c r="B264" t="s">
        <v>1024</v>
      </c>
      <c r="C264" t="e">
        <f>VLOOKUP(A264,'Overall Results'!$B$2:$I$543,9,FALSE)</f>
        <v>#REF!</v>
      </c>
      <c r="D264" t="e">
        <f>VLOOKUP(A264,'Overall Results'!$B$2:$I$543,10,FALSE)</f>
        <v>#REF!</v>
      </c>
      <c r="E264" s="3">
        <v>198.8</v>
      </c>
      <c r="F264" s="3">
        <v>2.42</v>
      </c>
      <c r="G264" s="8" t="e">
        <f>ABS(Table2[[#This Row],[E - FPts]]-Table2[[#This Row],[FPts]])</f>
        <v>#REF!</v>
      </c>
      <c r="H264" s="8" t="e">
        <f>ABS(Table2[[#This Row],[E - FP/G]]-Table2[[#This Row],[FP/G]])</f>
        <v>#REF!</v>
      </c>
    </row>
    <row r="265" spans="1:8" x14ac:dyDescent="0.25">
      <c r="A265" t="s">
        <v>449</v>
      </c>
      <c r="B265" t="s">
        <v>450</v>
      </c>
      <c r="C265" t="e">
        <f>VLOOKUP(A265,'Overall Results'!$B$2:$I$543,9,FALSE)</f>
        <v>#REF!</v>
      </c>
      <c r="D265" t="e">
        <f>VLOOKUP(A265,'Overall Results'!$B$2:$I$543,10,FALSE)</f>
        <v>#REF!</v>
      </c>
      <c r="E265" s="3">
        <v>363.55</v>
      </c>
      <c r="F265" s="3">
        <v>4.43</v>
      </c>
      <c r="G265" s="8" t="e">
        <f>ABS(Table2[[#This Row],[E - FPts]]-Table2[[#This Row],[FPts]])</f>
        <v>#REF!</v>
      </c>
      <c r="H265" s="8" t="e">
        <f>ABS(Table2[[#This Row],[E - FP/G]]-Table2[[#This Row],[FP/G]])</f>
        <v>#REF!</v>
      </c>
    </row>
    <row r="266" spans="1:8" x14ac:dyDescent="0.25">
      <c r="A266" t="s">
        <v>1159</v>
      </c>
      <c r="B266" t="s">
        <v>1160</v>
      </c>
      <c r="C266" t="e">
        <f>VLOOKUP(A266,'Overall Results'!$B$2:$I$543,9,FALSE)</f>
        <v>#N/A</v>
      </c>
      <c r="D266" t="e">
        <f>VLOOKUP(A266,'Overall Results'!$B$2:$I$543,10,FALSE)</f>
        <v>#N/A</v>
      </c>
      <c r="E266" s="3">
        <v>9.1999999999999993</v>
      </c>
      <c r="F266" s="3">
        <v>1.84</v>
      </c>
      <c r="G266" s="8" t="e">
        <f>ABS(Table2[[#This Row],[E - FPts]]-Table2[[#This Row],[FPts]])</f>
        <v>#N/A</v>
      </c>
      <c r="H266" s="8" t="e">
        <f>ABS(Table2[[#This Row],[E - FP/G]]-Table2[[#This Row],[FP/G]])</f>
        <v>#N/A</v>
      </c>
    </row>
    <row r="267" spans="1:8" x14ac:dyDescent="0.25">
      <c r="A267" t="s">
        <v>895</v>
      </c>
      <c r="B267" t="s">
        <v>896</v>
      </c>
      <c r="C267" t="e">
        <f>VLOOKUP(A267,'Overall Results'!$B$2:$I$543,9,FALSE)</f>
        <v>#REF!</v>
      </c>
      <c r="D267" t="e">
        <f>VLOOKUP(A267,'Overall Results'!$B$2:$I$543,10,FALSE)</f>
        <v>#REF!</v>
      </c>
      <c r="E267" s="3">
        <v>95.8</v>
      </c>
      <c r="F267" s="3">
        <v>2.4</v>
      </c>
      <c r="G267" s="8" t="e">
        <f>ABS(Table2[[#This Row],[E - FPts]]-Table2[[#This Row],[FPts]])</f>
        <v>#REF!</v>
      </c>
      <c r="H267" s="8" t="e">
        <f>ABS(Table2[[#This Row],[E - FP/G]]-Table2[[#This Row],[FP/G]])</f>
        <v>#REF!</v>
      </c>
    </row>
    <row r="268" spans="1:8" x14ac:dyDescent="0.25">
      <c r="A268" t="s">
        <v>1310</v>
      </c>
      <c r="B268" t="s">
        <v>1311</v>
      </c>
      <c r="C268" t="e">
        <f>VLOOKUP(A268,'Overall Results'!$B$2:$I$543,9,FALSE)</f>
        <v>#N/A</v>
      </c>
      <c r="D268" t="e">
        <f>VLOOKUP(A268,'Overall Results'!$B$2:$I$543,10,FALSE)</f>
        <v>#N/A</v>
      </c>
      <c r="E268" s="3">
        <v>207.15</v>
      </c>
      <c r="F268" s="3">
        <v>2.76</v>
      </c>
      <c r="G268" s="8" t="e">
        <f>ABS(Table2[[#This Row],[E - FPts]]-Table2[[#This Row],[FPts]])</f>
        <v>#N/A</v>
      </c>
      <c r="H268" s="8" t="e">
        <f>ABS(Table2[[#This Row],[E - FP/G]]-Table2[[#This Row],[FP/G]])</f>
        <v>#N/A</v>
      </c>
    </row>
    <row r="269" spans="1:8" x14ac:dyDescent="0.25">
      <c r="A269" t="s">
        <v>1225</v>
      </c>
      <c r="B269" t="s">
        <v>1226</v>
      </c>
      <c r="C269" t="e">
        <f>VLOOKUP(A269,'Overall Results'!$B$2:$I$543,9,FALSE)</f>
        <v>#N/A</v>
      </c>
      <c r="D269" t="e">
        <f>VLOOKUP(A269,'Overall Results'!$B$2:$I$543,10,FALSE)</f>
        <v>#N/A</v>
      </c>
      <c r="E269" s="3">
        <v>1.7</v>
      </c>
      <c r="F269" s="3">
        <v>0.85</v>
      </c>
      <c r="G269" s="8" t="e">
        <f>ABS(Table2[[#This Row],[E - FPts]]-Table2[[#This Row],[FPts]])</f>
        <v>#N/A</v>
      </c>
      <c r="H269" s="8" t="e">
        <f>ABS(Table2[[#This Row],[E - FP/G]]-Table2[[#This Row],[FP/G]])</f>
        <v>#N/A</v>
      </c>
    </row>
    <row r="270" spans="1:8" x14ac:dyDescent="0.25">
      <c r="A270" t="s">
        <v>685</v>
      </c>
      <c r="B270" t="s">
        <v>686</v>
      </c>
      <c r="C270" t="e">
        <f>VLOOKUP(A270,'Overall Results'!$B$2:$I$543,9,FALSE)</f>
        <v>#REF!</v>
      </c>
      <c r="D270" t="e">
        <f>VLOOKUP(A270,'Overall Results'!$B$2:$I$543,10,FALSE)</f>
        <v>#REF!</v>
      </c>
      <c r="E270" s="3">
        <v>292.14999999999998</v>
      </c>
      <c r="F270" s="3">
        <v>4.1100000000000003</v>
      </c>
      <c r="G270" s="8" t="e">
        <f>ABS(Table2[[#This Row],[E - FPts]]-Table2[[#This Row],[FPts]])</f>
        <v>#REF!</v>
      </c>
      <c r="H270" s="8" t="e">
        <f>ABS(Table2[[#This Row],[E - FP/G]]-Table2[[#This Row],[FP/G]])</f>
        <v>#REF!</v>
      </c>
    </row>
    <row r="271" spans="1:8" x14ac:dyDescent="0.25">
      <c r="A271" t="s">
        <v>863</v>
      </c>
      <c r="B271" t="s">
        <v>864</v>
      </c>
      <c r="C271" t="e">
        <f>VLOOKUP(A271,'Overall Results'!$B$2:$I$543,9,FALSE)</f>
        <v>#REF!</v>
      </c>
      <c r="D271" t="e">
        <f>VLOOKUP(A271,'Overall Results'!$B$2:$I$543,10,FALSE)</f>
        <v>#REF!</v>
      </c>
      <c r="E271" s="3">
        <v>194.85</v>
      </c>
      <c r="F271" s="3">
        <v>2.82</v>
      </c>
      <c r="G271" s="8" t="e">
        <f>ABS(Table2[[#This Row],[E - FPts]]-Table2[[#This Row],[FPts]])</f>
        <v>#REF!</v>
      </c>
      <c r="H271" s="8" t="e">
        <f>ABS(Table2[[#This Row],[E - FP/G]]-Table2[[#This Row],[FP/G]])</f>
        <v>#REF!</v>
      </c>
    </row>
    <row r="272" spans="1:8" x14ac:dyDescent="0.25">
      <c r="A272" t="s">
        <v>827</v>
      </c>
      <c r="B272" t="s">
        <v>828</v>
      </c>
      <c r="C272" t="e">
        <f>VLOOKUP(A272,'Overall Results'!$B$2:$I$543,9,FALSE)</f>
        <v>#REF!</v>
      </c>
      <c r="D272" t="e">
        <f>VLOOKUP(A272,'Overall Results'!$B$2:$I$543,10,FALSE)</f>
        <v>#REF!</v>
      </c>
      <c r="E272" s="3">
        <v>236.65</v>
      </c>
      <c r="F272" s="3">
        <v>3</v>
      </c>
      <c r="G272" s="8" t="e">
        <f>ABS(Table2[[#This Row],[E - FPts]]-Table2[[#This Row],[FPts]])</f>
        <v>#REF!</v>
      </c>
      <c r="H272" s="8" t="e">
        <f>ABS(Table2[[#This Row],[E - FP/G]]-Table2[[#This Row],[FP/G]])</f>
        <v>#REF!</v>
      </c>
    </row>
    <row r="273" spans="1:8" x14ac:dyDescent="0.25">
      <c r="A273" t="s">
        <v>1510</v>
      </c>
      <c r="B273" t="s">
        <v>1511</v>
      </c>
      <c r="C273" t="e">
        <f>VLOOKUP(A273,'Overall Results'!$B$2:$I$543,9,FALSE)</f>
        <v>#N/A</v>
      </c>
      <c r="D273" t="e">
        <f>VLOOKUP(A273,'Overall Results'!$B$2:$I$543,10,FALSE)</f>
        <v>#N/A</v>
      </c>
      <c r="E273" s="3">
        <v>182.9</v>
      </c>
      <c r="F273" s="3">
        <v>2.2599999999999998</v>
      </c>
      <c r="G273" s="8" t="e">
        <f>ABS(Table2[[#This Row],[E - FPts]]-Table2[[#This Row],[FPts]])</f>
        <v>#N/A</v>
      </c>
      <c r="H273" s="8" t="e">
        <f>ABS(Table2[[#This Row],[E - FP/G]]-Table2[[#This Row],[FP/G]])</f>
        <v>#N/A</v>
      </c>
    </row>
    <row r="274" spans="1:8" x14ac:dyDescent="0.25">
      <c r="A274" t="s">
        <v>1093</v>
      </c>
      <c r="B274" t="s">
        <v>1094</v>
      </c>
      <c r="C274" t="e">
        <f>VLOOKUP(A274,'Overall Results'!$B$2:$I$543,9,FALSE)</f>
        <v>#N/A</v>
      </c>
      <c r="D274" t="e">
        <f>VLOOKUP(A274,'Overall Results'!$B$2:$I$543,10,FALSE)</f>
        <v>#N/A</v>
      </c>
      <c r="E274" s="3">
        <v>191.95</v>
      </c>
      <c r="F274" s="3">
        <v>2.4300000000000002</v>
      </c>
      <c r="G274" s="8" t="e">
        <f>ABS(Table2[[#This Row],[E - FPts]]-Table2[[#This Row],[FPts]])</f>
        <v>#N/A</v>
      </c>
      <c r="H274" s="8" t="e">
        <f>ABS(Table2[[#This Row],[E - FP/G]]-Table2[[#This Row],[FP/G]])</f>
        <v>#N/A</v>
      </c>
    </row>
    <row r="275" spans="1:8" x14ac:dyDescent="0.25">
      <c r="A275" t="s">
        <v>1223</v>
      </c>
      <c r="B275" t="s">
        <v>1224</v>
      </c>
      <c r="C275" t="e">
        <f>VLOOKUP(A275,'Overall Results'!$B$2:$I$543,9,FALSE)</f>
        <v>#REF!</v>
      </c>
      <c r="D275" t="e">
        <f>VLOOKUP(A275,'Overall Results'!$B$2:$I$543,10,FALSE)</f>
        <v>#REF!</v>
      </c>
      <c r="E275" s="3">
        <v>70.05</v>
      </c>
      <c r="F275" s="3">
        <v>1.67</v>
      </c>
      <c r="G275" s="8" t="e">
        <f>ABS(Table2[[#This Row],[E - FPts]]-Table2[[#This Row],[FPts]])</f>
        <v>#REF!</v>
      </c>
      <c r="H275" s="8" t="e">
        <f>ABS(Table2[[#This Row],[E - FP/G]]-Table2[[#This Row],[FP/G]])</f>
        <v>#REF!</v>
      </c>
    </row>
    <row r="276" spans="1:8" x14ac:dyDescent="0.25">
      <c r="A276" t="s">
        <v>929</v>
      </c>
      <c r="B276" t="s">
        <v>930</v>
      </c>
      <c r="C276" t="e">
        <f>VLOOKUP(A276,'Overall Results'!$B$2:$I$543,9,FALSE)</f>
        <v>#REF!</v>
      </c>
      <c r="D276" t="e">
        <f>VLOOKUP(A276,'Overall Results'!$B$2:$I$543,10,FALSE)</f>
        <v>#REF!</v>
      </c>
      <c r="E276" s="3">
        <v>199.85</v>
      </c>
      <c r="F276" s="3">
        <v>2.63</v>
      </c>
      <c r="G276" s="8" t="e">
        <f>ABS(Table2[[#This Row],[E - FPts]]-Table2[[#This Row],[FPts]])</f>
        <v>#REF!</v>
      </c>
      <c r="H276" s="8" t="e">
        <f>ABS(Table2[[#This Row],[E - FP/G]]-Table2[[#This Row],[FP/G]])</f>
        <v>#REF!</v>
      </c>
    </row>
    <row r="277" spans="1:8" x14ac:dyDescent="0.25">
      <c r="A277" t="s">
        <v>230</v>
      </c>
      <c r="B277" t="s">
        <v>231</v>
      </c>
      <c r="C277" t="e">
        <f>VLOOKUP(A277,'Overall Results'!$B$2:$I$543,9,FALSE)</f>
        <v>#REF!</v>
      </c>
      <c r="D277" t="e">
        <f>VLOOKUP(A277,'Overall Results'!$B$2:$I$543,10,FALSE)</f>
        <v>#REF!</v>
      </c>
      <c r="E277" s="3">
        <v>383.15</v>
      </c>
      <c r="F277" s="3">
        <v>5.55</v>
      </c>
      <c r="G277" s="8" t="e">
        <f>ABS(Table2[[#This Row],[E - FPts]]-Table2[[#This Row],[FPts]])</f>
        <v>#REF!</v>
      </c>
      <c r="H277" s="8" t="e">
        <f>ABS(Table2[[#This Row],[E - FP/G]]-Table2[[#This Row],[FP/G]])</f>
        <v>#REF!</v>
      </c>
    </row>
    <row r="278" spans="1:8" x14ac:dyDescent="0.25">
      <c r="A278" t="s">
        <v>1173</v>
      </c>
      <c r="B278" t="s">
        <v>1174</v>
      </c>
      <c r="C278" t="e">
        <f>VLOOKUP(A278,'Overall Results'!$B$2:$I$543,9,FALSE)</f>
        <v>#N/A</v>
      </c>
      <c r="D278" t="e">
        <f>VLOOKUP(A278,'Overall Results'!$B$2:$I$543,10,FALSE)</f>
        <v>#N/A</v>
      </c>
      <c r="E278" s="3">
        <v>64.650000000000006</v>
      </c>
      <c r="F278" s="3">
        <v>1.9</v>
      </c>
      <c r="G278" s="8" t="e">
        <f>ABS(Table2[[#This Row],[E - FPts]]-Table2[[#This Row],[FPts]])</f>
        <v>#N/A</v>
      </c>
      <c r="H278" s="8" t="e">
        <f>ABS(Table2[[#This Row],[E - FP/G]]-Table2[[#This Row],[FP/G]])</f>
        <v>#N/A</v>
      </c>
    </row>
    <row r="279" spans="1:8" x14ac:dyDescent="0.25">
      <c r="A279" t="s">
        <v>1151</v>
      </c>
      <c r="B279" t="s">
        <v>1152</v>
      </c>
      <c r="C279" t="e">
        <f>VLOOKUP(A279,'Overall Results'!$B$2:$I$543,9,FALSE)</f>
        <v>#REF!</v>
      </c>
      <c r="D279" t="e">
        <f>VLOOKUP(A279,'Overall Results'!$B$2:$I$543,10,FALSE)</f>
        <v>#REF!</v>
      </c>
      <c r="E279" s="3">
        <v>144.65</v>
      </c>
      <c r="F279" s="3">
        <v>2.68</v>
      </c>
      <c r="G279" s="8" t="e">
        <f>ABS(Table2[[#This Row],[E - FPts]]-Table2[[#This Row],[FPts]])</f>
        <v>#REF!</v>
      </c>
      <c r="H279" s="8" t="e">
        <f>ABS(Table2[[#This Row],[E - FP/G]]-Table2[[#This Row],[FP/G]])</f>
        <v>#REF!</v>
      </c>
    </row>
    <row r="280" spans="1:8" x14ac:dyDescent="0.25">
      <c r="A280" t="s">
        <v>49</v>
      </c>
      <c r="B280" t="s">
        <v>50</v>
      </c>
      <c r="C280" t="e">
        <f>VLOOKUP(A280,'Overall Results'!$B$2:$I$543,9,FALSE)</f>
        <v>#REF!</v>
      </c>
      <c r="D280" t="e">
        <f>VLOOKUP(A280,'Overall Results'!$B$2:$I$543,10,FALSE)</f>
        <v>#REF!</v>
      </c>
      <c r="E280" s="3">
        <v>562.29999999999995</v>
      </c>
      <c r="F280" s="3">
        <v>7.03</v>
      </c>
      <c r="G280" s="8" t="e">
        <f>ABS(Table2[[#This Row],[E - FPts]]-Table2[[#This Row],[FPts]])</f>
        <v>#REF!</v>
      </c>
      <c r="H280" s="8" t="e">
        <f>ABS(Table2[[#This Row],[E - FP/G]]-Table2[[#This Row],[FP/G]])</f>
        <v>#REF!</v>
      </c>
    </row>
    <row r="281" spans="1:8" x14ac:dyDescent="0.25">
      <c r="A281" t="s">
        <v>122</v>
      </c>
      <c r="B281" t="s">
        <v>123</v>
      </c>
      <c r="C281" t="e">
        <f>VLOOKUP(A281,'Overall Results'!$B$2:$I$543,9,FALSE)</f>
        <v>#REF!</v>
      </c>
      <c r="D281" t="e">
        <f>VLOOKUP(A281,'Overall Results'!$B$2:$I$543,10,FALSE)</f>
        <v>#REF!</v>
      </c>
      <c r="E281" s="3">
        <v>553.20000000000005</v>
      </c>
      <c r="F281" s="3">
        <v>7.28</v>
      </c>
      <c r="G281" s="8" t="e">
        <f>ABS(Table2[[#This Row],[E - FPts]]-Table2[[#This Row],[FPts]])</f>
        <v>#REF!</v>
      </c>
      <c r="H281" s="8" t="e">
        <f>ABS(Table2[[#This Row],[E - FP/G]]-Table2[[#This Row],[FP/G]])</f>
        <v>#REF!</v>
      </c>
    </row>
    <row r="282" spans="1:8" x14ac:dyDescent="0.25">
      <c r="A282" t="s">
        <v>190</v>
      </c>
      <c r="B282" t="s">
        <v>191</v>
      </c>
      <c r="C282" t="e">
        <f>VLOOKUP(A282,'Overall Results'!$B$2:$I$543,9,FALSE)</f>
        <v>#REF!</v>
      </c>
      <c r="D282" t="e">
        <f>VLOOKUP(A282,'Overall Results'!$B$2:$I$543,10,FALSE)</f>
        <v>#REF!</v>
      </c>
      <c r="E282" s="3">
        <v>309.55</v>
      </c>
      <c r="F282" s="3">
        <v>5.73</v>
      </c>
      <c r="G282" s="8" t="e">
        <f>ABS(Table2[[#This Row],[E - FPts]]-Table2[[#This Row],[FPts]])</f>
        <v>#REF!</v>
      </c>
      <c r="H282" s="8" t="e">
        <f>ABS(Table2[[#This Row],[E - FP/G]]-Table2[[#This Row],[FP/G]])</f>
        <v>#REF!</v>
      </c>
    </row>
    <row r="283" spans="1:8" x14ac:dyDescent="0.25">
      <c r="A283" t="s">
        <v>643</v>
      </c>
      <c r="B283" t="s">
        <v>644</v>
      </c>
      <c r="C283" t="e">
        <f>VLOOKUP(A283,'Overall Results'!$B$2:$I$543,9,FALSE)</f>
        <v>#REF!</v>
      </c>
      <c r="D283" t="e">
        <f>VLOOKUP(A283,'Overall Results'!$B$2:$I$543,10,FALSE)</f>
        <v>#REF!</v>
      </c>
      <c r="E283" s="3">
        <v>248.35</v>
      </c>
      <c r="F283" s="3">
        <v>3.27</v>
      </c>
      <c r="G283" s="8" t="e">
        <f>ABS(Table2[[#This Row],[E - FPts]]-Table2[[#This Row],[FPts]])</f>
        <v>#REF!</v>
      </c>
      <c r="H283" s="8" t="e">
        <f>ABS(Table2[[#This Row],[E - FP/G]]-Table2[[#This Row],[FP/G]])</f>
        <v>#REF!</v>
      </c>
    </row>
    <row r="284" spans="1:8" x14ac:dyDescent="0.25">
      <c r="A284" t="s">
        <v>1047</v>
      </c>
      <c r="B284" t="s">
        <v>1048</v>
      </c>
      <c r="C284" t="e">
        <f>VLOOKUP(A284,'Overall Results'!$B$2:$I$543,9,FALSE)</f>
        <v>#REF!</v>
      </c>
      <c r="D284" t="e">
        <f>VLOOKUP(A284,'Overall Results'!$B$2:$I$543,10,FALSE)</f>
        <v>#REF!</v>
      </c>
      <c r="E284" s="3">
        <v>191.45</v>
      </c>
      <c r="F284" s="3">
        <v>2.4500000000000002</v>
      </c>
      <c r="G284" s="8" t="e">
        <f>ABS(Table2[[#This Row],[E - FPts]]-Table2[[#This Row],[FPts]])</f>
        <v>#REF!</v>
      </c>
      <c r="H284" s="8" t="e">
        <f>ABS(Table2[[#This Row],[E - FP/G]]-Table2[[#This Row],[FP/G]])</f>
        <v>#REF!</v>
      </c>
    </row>
    <row r="285" spans="1:8" x14ac:dyDescent="0.25">
      <c r="A285" t="s">
        <v>1003</v>
      </c>
      <c r="B285" t="s">
        <v>1004</v>
      </c>
      <c r="C285" t="e">
        <f>VLOOKUP(A285,'Overall Results'!$B$2:$I$543,9,FALSE)</f>
        <v>#N/A</v>
      </c>
      <c r="D285" t="e">
        <f>VLOOKUP(A285,'Overall Results'!$B$2:$I$543,10,FALSE)</f>
        <v>#N/A</v>
      </c>
      <c r="E285" s="3">
        <v>99.85</v>
      </c>
      <c r="F285" s="3">
        <v>2.38</v>
      </c>
      <c r="G285" s="8" t="e">
        <f>ABS(Table2[[#This Row],[E - FPts]]-Table2[[#This Row],[FPts]])</f>
        <v>#N/A</v>
      </c>
      <c r="H285" s="8" t="e">
        <f>ABS(Table2[[#This Row],[E - FP/G]]-Table2[[#This Row],[FP/G]])</f>
        <v>#N/A</v>
      </c>
    </row>
    <row r="286" spans="1:8" x14ac:dyDescent="0.25">
      <c r="A286" t="s">
        <v>869</v>
      </c>
      <c r="B286" t="s">
        <v>870</v>
      </c>
      <c r="C286" t="e">
        <f>VLOOKUP(A286,'Overall Results'!$B$2:$I$543,9,FALSE)</f>
        <v>#N/A</v>
      </c>
      <c r="D286" t="e">
        <f>VLOOKUP(A286,'Overall Results'!$B$2:$I$543,10,FALSE)</f>
        <v>#N/A</v>
      </c>
      <c r="E286" s="3">
        <v>134.35</v>
      </c>
      <c r="F286" s="3">
        <v>2.58</v>
      </c>
      <c r="G286" s="8" t="e">
        <f>ABS(Table2[[#This Row],[E - FPts]]-Table2[[#This Row],[FPts]])</f>
        <v>#N/A</v>
      </c>
      <c r="H286" s="8" t="e">
        <f>ABS(Table2[[#This Row],[E - FP/G]]-Table2[[#This Row],[FP/G]])</f>
        <v>#N/A</v>
      </c>
    </row>
    <row r="287" spans="1:8" x14ac:dyDescent="0.25">
      <c r="A287" t="s">
        <v>945</v>
      </c>
      <c r="B287" t="s">
        <v>946</v>
      </c>
      <c r="C287" t="e">
        <f>VLOOKUP(A287,'Overall Results'!$B$2:$I$543,9,FALSE)</f>
        <v>#REF!</v>
      </c>
      <c r="D287" t="e">
        <f>VLOOKUP(A287,'Overall Results'!$B$2:$I$543,10,FALSE)</f>
        <v>#REF!</v>
      </c>
      <c r="E287" s="3">
        <v>174.35</v>
      </c>
      <c r="F287" s="3">
        <v>2.13</v>
      </c>
      <c r="G287" s="8" t="e">
        <f>ABS(Table2[[#This Row],[E - FPts]]-Table2[[#This Row],[FPts]])</f>
        <v>#REF!</v>
      </c>
      <c r="H287" s="8" t="e">
        <f>ABS(Table2[[#This Row],[E - FP/G]]-Table2[[#This Row],[FP/G]])</f>
        <v>#REF!</v>
      </c>
    </row>
    <row r="288" spans="1:8" x14ac:dyDescent="0.25">
      <c r="A288" t="s">
        <v>1348</v>
      </c>
      <c r="B288" t="s">
        <v>1349</v>
      </c>
      <c r="C288" t="e">
        <f>VLOOKUP(A288,'Overall Results'!$B$2:$I$543,9,FALSE)</f>
        <v>#N/A</v>
      </c>
      <c r="D288" t="e">
        <f>VLOOKUP(A288,'Overall Results'!$B$2:$I$543,10,FALSE)</f>
        <v>#N/A</v>
      </c>
      <c r="E288" s="3">
        <v>106.15</v>
      </c>
      <c r="F288" s="3">
        <v>1.63</v>
      </c>
      <c r="G288" s="8" t="e">
        <f>ABS(Table2[[#This Row],[E - FPts]]-Table2[[#This Row],[FPts]])</f>
        <v>#N/A</v>
      </c>
      <c r="H288" s="8" t="e">
        <f>ABS(Table2[[#This Row],[E - FP/G]]-Table2[[#This Row],[FP/G]])</f>
        <v>#N/A</v>
      </c>
    </row>
    <row r="289" spans="1:8" x14ac:dyDescent="0.25">
      <c r="A289" t="s">
        <v>1163</v>
      </c>
      <c r="B289" t="s">
        <v>1164</v>
      </c>
      <c r="C289" t="e">
        <f>VLOOKUP(A289,'Overall Results'!$B$2:$I$543,9,FALSE)</f>
        <v>#N/A</v>
      </c>
      <c r="D289" t="e">
        <f>VLOOKUP(A289,'Overall Results'!$B$2:$I$543,10,FALSE)</f>
        <v>#N/A</v>
      </c>
      <c r="E289" s="3">
        <v>11.7</v>
      </c>
      <c r="F289" s="3">
        <v>2.92</v>
      </c>
      <c r="G289" s="8" t="e">
        <f>ABS(Table2[[#This Row],[E - FPts]]-Table2[[#This Row],[FPts]])</f>
        <v>#N/A</v>
      </c>
      <c r="H289" s="8" t="e">
        <f>ABS(Table2[[#This Row],[E - FP/G]]-Table2[[#This Row],[FP/G]])</f>
        <v>#N/A</v>
      </c>
    </row>
    <row r="290" spans="1:8" x14ac:dyDescent="0.25">
      <c r="A290" t="s">
        <v>545</v>
      </c>
      <c r="B290" t="s">
        <v>546</v>
      </c>
      <c r="C290" t="e">
        <f>VLOOKUP(A290,'Overall Results'!$B$2:$I$543,9,FALSE)</f>
        <v>#REF!</v>
      </c>
      <c r="D290" t="e">
        <f>VLOOKUP(A290,'Overall Results'!$B$2:$I$543,10,FALSE)</f>
        <v>#REF!</v>
      </c>
      <c r="E290" s="3">
        <v>322.95</v>
      </c>
      <c r="F290" s="3">
        <v>4.04</v>
      </c>
      <c r="G290" s="8" t="e">
        <f>ABS(Table2[[#This Row],[E - FPts]]-Table2[[#This Row],[FPts]])</f>
        <v>#REF!</v>
      </c>
      <c r="H290" s="8" t="e">
        <f>ABS(Table2[[#This Row],[E - FP/G]]-Table2[[#This Row],[FP/G]])</f>
        <v>#REF!</v>
      </c>
    </row>
    <row r="291" spans="1:8" x14ac:dyDescent="0.25">
      <c r="A291" t="s">
        <v>220</v>
      </c>
      <c r="B291" t="s">
        <v>221</v>
      </c>
      <c r="C291" t="e">
        <f>VLOOKUP(A291,'Overall Results'!$B$2:$I$543,9,FALSE)</f>
        <v>#REF!</v>
      </c>
      <c r="D291" t="e">
        <f>VLOOKUP(A291,'Overall Results'!$B$2:$I$543,10,FALSE)</f>
        <v>#REF!</v>
      </c>
      <c r="E291" s="3">
        <v>131.44999999999999</v>
      </c>
      <c r="F291" s="3">
        <v>6.57</v>
      </c>
      <c r="G291" s="8" t="e">
        <f>ABS(Table2[[#This Row],[E - FPts]]-Table2[[#This Row],[FPts]])</f>
        <v>#REF!</v>
      </c>
      <c r="H291" s="8" t="e">
        <f>ABS(Table2[[#This Row],[E - FP/G]]-Table2[[#This Row],[FP/G]])</f>
        <v>#REF!</v>
      </c>
    </row>
    <row r="292" spans="1:8" x14ac:dyDescent="0.25">
      <c r="A292" t="s">
        <v>735</v>
      </c>
      <c r="B292" t="s">
        <v>736</v>
      </c>
      <c r="C292" t="e">
        <f>VLOOKUP(A292,'Overall Results'!$B$2:$I$543,9,FALSE)</f>
        <v>#N/A</v>
      </c>
      <c r="D292" t="e">
        <f>VLOOKUP(A292,'Overall Results'!$B$2:$I$543,10,FALSE)</f>
        <v>#N/A</v>
      </c>
      <c r="E292" s="3">
        <v>227</v>
      </c>
      <c r="F292" s="3">
        <v>3.24</v>
      </c>
      <c r="G292" s="8" t="e">
        <f>ABS(Table2[[#This Row],[E - FPts]]-Table2[[#This Row],[FPts]])</f>
        <v>#N/A</v>
      </c>
      <c r="H292" s="8" t="e">
        <f>ABS(Table2[[#This Row],[E - FP/G]]-Table2[[#This Row],[FP/G]])</f>
        <v>#N/A</v>
      </c>
    </row>
    <row r="293" spans="1:8" x14ac:dyDescent="0.25">
      <c r="A293" t="s">
        <v>1255</v>
      </c>
      <c r="B293" t="s">
        <v>1256</v>
      </c>
      <c r="C293" t="e">
        <f>VLOOKUP(A293,'Overall Results'!$B$2:$I$543,9,FALSE)</f>
        <v>#N/A</v>
      </c>
      <c r="D293" t="e">
        <f>VLOOKUP(A293,'Overall Results'!$B$2:$I$543,10,FALSE)</f>
        <v>#N/A</v>
      </c>
      <c r="E293" s="3">
        <v>62.7</v>
      </c>
      <c r="F293" s="3">
        <v>2.02</v>
      </c>
      <c r="G293" s="8" t="e">
        <f>ABS(Table2[[#This Row],[E - FPts]]-Table2[[#This Row],[FPts]])</f>
        <v>#N/A</v>
      </c>
      <c r="H293" s="8" t="e">
        <f>ABS(Table2[[#This Row],[E - FP/G]]-Table2[[#This Row],[FP/G]])</f>
        <v>#N/A</v>
      </c>
    </row>
    <row r="294" spans="1:8" x14ac:dyDescent="0.25">
      <c r="A294" t="s">
        <v>1302</v>
      </c>
      <c r="B294" t="s">
        <v>1303</v>
      </c>
      <c r="C294" t="e">
        <f>VLOOKUP(A294,'Overall Results'!$B$2:$I$543,9,FALSE)</f>
        <v>#N/A</v>
      </c>
      <c r="D294" t="e">
        <f>VLOOKUP(A294,'Overall Results'!$B$2:$I$543,10,FALSE)</f>
        <v>#N/A</v>
      </c>
      <c r="E294" s="3">
        <v>41.45</v>
      </c>
      <c r="F294" s="3">
        <v>1.54</v>
      </c>
      <c r="G294" s="8" t="e">
        <f>ABS(Table2[[#This Row],[E - FPts]]-Table2[[#This Row],[FPts]])</f>
        <v>#N/A</v>
      </c>
      <c r="H294" s="8" t="e">
        <f>ABS(Table2[[#This Row],[E - FP/G]]-Table2[[#This Row],[FP/G]])</f>
        <v>#N/A</v>
      </c>
    </row>
    <row r="295" spans="1:8" x14ac:dyDescent="0.25">
      <c r="A295" t="s">
        <v>1119</v>
      </c>
      <c r="B295" t="s">
        <v>1120</v>
      </c>
      <c r="C295" t="e">
        <f>VLOOKUP(A295,'Overall Results'!$B$2:$I$543,9,FALSE)</f>
        <v>#N/A</v>
      </c>
      <c r="D295" t="e">
        <f>VLOOKUP(A295,'Overall Results'!$B$2:$I$543,10,FALSE)</f>
        <v>#N/A</v>
      </c>
      <c r="E295" s="3">
        <v>85.75</v>
      </c>
      <c r="F295" s="3">
        <v>1.65</v>
      </c>
      <c r="G295" s="8" t="e">
        <f>ABS(Table2[[#This Row],[E - FPts]]-Table2[[#This Row],[FPts]])</f>
        <v>#N/A</v>
      </c>
      <c r="H295" s="8" t="e">
        <f>ABS(Table2[[#This Row],[E - FP/G]]-Table2[[#This Row],[FP/G]])</f>
        <v>#N/A</v>
      </c>
    </row>
    <row r="296" spans="1:8" x14ac:dyDescent="0.25">
      <c r="A296" t="s">
        <v>1261</v>
      </c>
      <c r="B296" t="s">
        <v>1262</v>
      </c>
      <c r="C296" t="e">
        <f>VLOOKUP(A296,'Overall Results'!$B$2:$I$543,9,FALSE)</f>
        <v>#N/A</v>
      </c>
      <c r="D296" t="e">
        <f>VLOOKUP(A296,'Overall Results'!$B$2:$I$543,10,FALSE)</f>
        <v>#N/A</v>
      </c>
      <c r="E296" s="3">
        <v>37</v>
      </c>
      <c r="F296" s="3">
        <v>1.76</v>
      </c>
      <c r="G296" s="8" t="e">
        <f>ABS(Table2[[#This Row],[E - FPts]]-Table2[[#This Row],[FPts]])</f>
        <v>#N/A</v>
      </c>
      <c r="H296" s="8" t="e">
        <f>ABS(Table2[[#This Row],[E - FP/G]]-Table2[[#This Row],[FP/G]])</f>
        <v>#N/A</v>
      </c>
    </row>
    <row r="297" spans="1:8" x14ac:dyDescent="0.25">
      <c r="A297" t="s">
        <v>471</v>
      </c>
      <c r="B297" t="s">
        <v>472</v>
      </c>
      <c r="C297" t="e">
        <f>VLOOKUP(A297,'Overall Results'!$B$2:$I$543,9,FALSE)</f>
        <v>#REF!</v>
      </c>
      <c r="D297" t="e">
        <f>VLOOKUP(A297,'Overall Results'!$B$2:$I$543,10,FALSE)</f>
        <v>#REF!</v>
      </c>
      <c r="E297" s="3">
        <v>309.64999999999998</v>
      </c>
      <c r="F297" s="3">
        <v>4.13</v>
      </c>
      <c r="G297" s="8" t="e">
        <f>ABS(Table2[[#This Row],[E - FPts]]-Table2[[#This Row],[FPts]])</f>
        <v>#REF!</v>
      </c>
      <c r="H297" s="8" t="e">
        <f>ABS(Table2[[#This Row],[E - FP/G]]-Table2[[#This Row],[FP/G]])</f>
        <v>#REF!</v>
      </c>
    </row>
    <row r="298" spans="1:8" x14ac:dyDescent="0.25">
      <c r="A298" t="s">
        <v>887</v>
      </c>
      <c r="B298" t="s">
        <v>888</v>
      </c>
      <c r="C298" t="e">
        <f>VLOOKUP(A298,'Overall Results'!$B$2:$I$543,9,FALSE)</f>
        <v>#REF!</v>
      </c>
      <c r="D298" t="e">
        <f>VLOOKUP(A298,'Overall Results'!$B$2:$I$543,10,FALSE)</f>
        <v>#REF!</v>
      </c>
      <c r="E298" s="3">
        <v>157.25</v>
      </c>
      <c r="F298" s="3">
        <v>2.81</v>
      </c>
      <c r="G298" s="8" t="e">
        <f>ABS(Table2[[#This Row],[E - FPts]]-Table2[[#This Row],[FPts]])</f>
        <v>#REF!</v>
      </c>
      <c r="H298" s="8" t="e">
        <f>ABS(Table2[[#This Row],[E - FP/G]]-Table2[[#This Row],[FP/G]])</f>
        <v>#REF!</v>
      </c>
    </row>
    <row r="299" spans="1:8" x14ac:dyDescent="0.25">
      <c r="A299" t="s">
        <v>551</v>
      </c>
      <c r="B299" t="s">
        <v>552</v>
      </c>
      <c r="C299" t="e">
        <f>VLOOKUP(A299,'Overall Results'!$B$2:$I$543,9,FALSE)</f>
        <v>#REF!</v>
      </c>
      <c r="D299" t="e">
        <f>VLOOKUP(A299,'Overall Results'!$B$2:$I$543,10,FALSE)</f>
        <v>#REF!</v>
      </c>
      <c r="E299" s="3">
        <v>338.25</v>
      </c>
      <c r="F299" s="3">
        <v>4.3899999999999997</v>
      </c>
      <c r="G299" s="8" t="e">
        <f>ABS(Table2[[#This Row],[E - FPts]]-Table2[[#This Row],[FPts]])</f>
        <v>#REF!</v>
      </c>
      <c r="H299" s="8" t="e">
        <f>ABS(Table2[[#This Row],[E - FP/G]]-Table2[[#This Row],[FP/G]])</f>
        <v>#REF!</v>
      </c>
    </row>
    <row r="300" spans="1:8" x14ac:dyDescent="0.25">
      <c r="A300" t="s">
        <v>210</v>
      </c>
      <c r="B300" t="s">
        <v>211</v>
      </c>
      <c r="C300" t="e">
        <f>VLOOKUP(A300,'Overall Results'!$B$2:$I$543,9,FALSE)</f>
        <v>#REF!</v>
      </c>
      <c r="D300" t="e">
        <f>VLOOKUP(A300,'Overall Results'!$B$2:$I$543,10,FALSE)</f>
        <v>#REF!</v>
      </c>
      <c r="E300" s="3">
        <v>446.05</v>
      </c>
      <c r="F300" s="3">
        <v>5.44</v>
      </c>
      <c r="G300" s="8" t="e">
        <f>ABS(Table2[[#This Row],[E - FPts]]-Table2[[#This Row],[FPts]])</f>
        <v>#REF!</v>
      </c>
      <c r="H300" s="8" t="e">
        <f>ABS(Table2[[#This Row],[E - FP/G]]-Table2[[#This Row],[FP/G]])</f>
        <v>#REF!</v>
      </c>
    </row>
    <row r="301" spans="1:8" x14ac:dyDescent="0.25">
      <c r="A301" t="s">
        <v>1249</v>
      </c>
      <c r="B301" t="s">
        <v>1250</v>
      </c>
      <c r="C301" t="e">
        <f>VLOOKUP(A301,'Overall Results'!$B$2:$I$543,9,FALSE)</f>
        <v>#REF!</v>
      </c>
      <c r="D301" t="e">
        <f>VLOOKUP(A301,'Overall Results'!$B$2:$I$543,10,FALSE)</f>
        <v>#REF!</v>
      </c>
      <c r="E301" s="3">
        <v>75.75</v>
      </c>
      <c r="F301" s="3">
        <v>2.5299999999999998</v>
      </c>
      <c r="G301" s="8" t="e">
        <f>ABS(Table2[[#This Row],[E - FPts]]-Table2[[#This Row],[FPts]])</f>
        <v>#REF!</v>
      </c>
      <c r="H301" s="8" t="e">
        <f>ABS(Table2[[#This Row],[E - FP/G]]-Table2[[#This Row],[FP/G]])</f>
        <v>#REF!</v>
      </c>
    </row>
    <row r="302" spans="1:8" x14ac:dyDescent="0.25">
      <c r="A302" t="s">
        <v>44</v>
      </c>
      <c r="B302" t="s">
        <v>45</v>
      </c>
      <c r="C302" t="e">
        <f>VLOOKUP(A302,'Overall Results'!$B$2:$I$543,9,FALSE)</f>
        <v>#REF!</v>
      </c>
      <c r="D302" t="e">
        <f>VLOOKUP(A302,'Overall Results'!$B$2:$I$543,10,FALSE)</f>
        <v>#REF!</v>
      </c>
      <c r="E302" s="3">
        <v>483.6</v>
      </c>
      <c r="F302" s="3">
        <v>5.9</v>
      </c>
      <c r="G302" s="8" t="e">
        <f>ABS(Table2[[#This Row],[E - FPts]]-Table2[[#This Row],[FPts]])</f>
        <v>#REF!</v>
      </c>
      <c r="H302" s="8" t="e">
        <f>ABS(Table2[[#This Row],[E - FP/G]]-Table2[[#This Row],[FP/G]])</f>
        <v>#REF!</v>
      </c>
    </row>
    <row r="303" spans="1:8" x14ac:dyDescent="0.25">
      <c r="A303" t="s">
        <v>237</v>
      </c>
      <c r="B303" t="s">
        <v>238</v>
      </c>
      <c r="C303" t="e">
        <f>VLOOKUP(A303,'Overall Results'!$B$2:$I$543,9,FALSE)</f>
        <v>#REF!</v>
      </c>
      <c r="D303" t="e">
        <f>VLOOKUP(A303,'Overall Results'!$B$2:$I$543,10,FALSE)</f>
        <v>#REF!</v>
      </c>
      <c r="E303" s="3">
        <v>549.79999999999995</v>
      </c>
      <c r="F303" s="3">
        <v>7.05</v>
      </c>
      <c r="G303" s="8" t="e">
        <f>ABS(Table2[[#This Row],[E - FPts]]-Table2[[#This Row],[FPts]])</f>
        <v>#REF!</v>
      </c>
      <c r="H303" s="8" t="e">
        <f>ABS(Table2[[#This Row],[E - FP/G]]-Table2[[#This Row],[FP/G]])</f>
        <v>#REF!</v>
      </c>
    </row>
    <row r="304" spans="1:8" x14ac:dyDescent="0.25">
      <c r="A304" t="s">
        <v>1079</v>
      </c>
      <c r="B304" t="s">
        <v>1080</v>
      </c>
      <c r="C304" t="e">
        <f>VLOOKUP(A304,'Overall Results'!$B$2:$I$543,9,FALSE)</f>
        <v>#REF!</v>
      </c>
      <c r="D304" t="e">
        <f>VLOOKUP(A304,'Overall Results'!$B$2:$I$543,10,FALSE)</f>
        <v>#REF!</v>
      </c>
      <c r="E304" s="3">
        <v>35.35</v>
      </c>
      <c r="F304" s="3">
        <v>2.52</v>
      </c>
      <c r="G304" s="8" t="e">
        <f>ABS(Table2[[#This Row],[E - FPts]]-Table2[[#This Row],[FPts]])</f>
        <v>#REF!</v>
      </c>
      <c r="H304" s="8" t="e">
        <f>ABS(Table2[[#This Row],[E - FP/G]]-Table2[[#This Row],[FP/G]])</f>
        <v>#REF!</v>
      </c>
    </row>
    <row r="305" spans="1:8" x14ac:dyDescent="0.25">
      <c r="A305" t="s">
        <v>481</v>
      </c>
      <c r="B305" t="s">
        <v>482</v>
      </c>
      <c r="C305" t="e">
        <f>VLOOKUP(A305,'Overall Results'!$B$2:$I$543,9,FALSE)</f>
        <v>#REF!</v>
      </c>
      <c r="D305" t="e">
        <f>VLOOKUP(A305,'Overall Results'!$B$2:$I$543,10,FALSE)</f>
        <v>#REF!</v>
      </c>
      <c r="E305" s="3">
        <v>387.3</v>
      </c>
      <c r="F305" s="3">
        <v>4.97</v>
      </c>
      <c r="G305" s="8" t="e">
        <f>ABS(Table2[[#This Row],[E - FPts]]-Table2[[#This Row],[FPts]])</f>
        <v>#REF!</v>
      </c>
      <c r="H305" s="8" t="e">
        <f>ABS(Table2[[#This Row],[E - FP/G]]-Table2[[#This Row],[FP/G]])</f>
        <v>#REF!</v>
      </c>
    </row>
    <row r="306" spans="1:8" x14ac:dyDescent="0.25">
      <c r="A306" t="s">
        <v>865</v>
      </c>
      <c r="B306" t="s">
        <v>866</v>
      </c>
      <c r="C306" t="e">
        <f>VLOOKUP(A306,'Overall Results'!$B$2:$I$543,9,FALSE)</f>
        <v>#REF!</v>
      </c>
      <c r="D306" t="e">
        <f>VLOOKUP(A306,'Overall Results'!$B$2:$I$543,10,FALSE)</f>
        <v>#REF!</v>
      </c>
      <c r="E306" s="3">
        <v>148.05000000000001</v>
      </c>
      <c r="F306" s="3">
        <v>2.69</v>
      </c>
      <c r="G306" s="8" t="e">
        <f>ABS(Table2[[#This Row],[E - FPts]]-Table2[[#This Row],[FPts]])</f>
        <v>#REF!</v>
      </c>
      <c r="H306" s="8" t="e">
        <f>ABS(Table2[[#This Row],[E - FP/G]]-Table2[[#This Row],[FP/G]])</f>
        <v>#REF!</v>
      </c>
    </row>
    <row r="307" spans="1:8" x14ac:dyDescent="0.25">
      <c r="A307" t="s">
        <v>1512</v>
      </c>
      <c r="B307" t="s">
        <v>1513</v>
      </c>
      <c r="C307" t="e">
        <f>VLOOKUP(A307,'Overall Results'!$B$2:$I$543,9,FALSE)</f>
        <v>#N/A</v>
      </c>
      <c r="D307" t="e">
        <f>VLOOKUP(A307,'Overall Results'!$B$2:$I$543,10,FALSE)</f>
        <v>#N/A</v>
      </c>
      <c r="E307" s="3">
        <v>138.30000000000001</v>
      </c>
      <c r="F307" s="3">
        <v>3.01</v>
      </c>
      <c r="G307" s="8" t="e">
        <f>ABS(Table2[[#This Row],[E - FPts]]-Table2[[#This Row],[FPts]])</f>
        <v>#N/A</v>
      </c>
      <c r="H307" s="8" t="e">
        <f>ABS(Table2[[#This Row],[E - FP/G]]-Table2[[#This Row],[FP/G]])</f>
        <v>#N/A</v>
      </c>
    </row>
    <row r="308" spans="1:8" x14ac:dyDescent="0.25">
      <c r="A308" t="s">
        <v>729</v>
      </c>
      <c r="B308" t="s">
        <v>730</v>
      </c>
      <c r="C308" t="e">
        <f>VLOOKUP(A308,'Overall Results'!$B$2:$I$543,9,FALSE)</f>
        <v>#REF!</v>
      </c>
      <c r="D308" t="e">
        <f>VLOOKUP(A308,'Overall Results'!$B$2:$I$543,10,FALSE)</f>
        <v>#REF!</v>
      </c>
      <c r="E308" s="3">
        <v>222.85</v>
      </c>
      <c r="F308" s="3">
        <v>2.82</v>
      </c>
      <c r="G308" s="8" t="e">
        <f>ABS(Table2[[#This Row],[E - FPts]]-Table2[[#This Row],[FPts]])</f>
        <v>#REF!</v>
      </c>
      <c r="H308" s="8" t="e">
        <f>ABS(Table2[[#This Row],[E - FP/G]]-Table2[[#This Row],[FP/G]])</f>
        <v>#REF!</v>
      </c>
    </row>
    <row r="309" spans="1:8" x14ac:dyDescent="0.25">
      <c r="A309" t="s">
        <v>1059</v>
      </c>
      <c r="B309" t="s">
        <v>1060</v>
      </c>
      <c r="C309" t="e">
        <f>VLOOKUP(A309,'Overall Results'!$B$2:$I$543,9,FALSE)</f>
        <v>#N/A</v>
      </c>
      <c r="D309" t="e">
        <f>VLOOKUP(A309,'Overall Results'!$B$2:$I$543,10,FALSE)</f>
        <v>#N/A</v>
      </c>
      <c r="E309" s="3">
        <v>172.05</v>
      </c>
      <c r="F309" s="3">
        <v>2.36</v>
      </c>
      <c r="G309" s="8" t="e">
        <f>ABS(Table2[[#This Row],[E - FPts]]-Table2[[#This Row],[FPts]])</f>
        <v>#N/A</v>
      </c>
      <c r="H309" s="8" t="e">
        <f>ABS(Table2[[#This Row],[E - FP/G]]-Table2[[#This Row],[FP/G]])</f>
        <v>#N/A</v>
      </c>
    </row>
    <row r="310" spans="1:8" x14ac:dyDescent="0.25">
      <c r="A310" t="s">
        <v>281</v>
      </c>
      <c r="B310" t="s">
        <v>282</v>
      </c>
      <c r="C310" t="e">
        <f>VLOOKUP(A310,'Overall Results'!$B$2:$I$543,9,FALSE)</f>
        <v>#REF!</v>
      </c>
      <c r="D310" t="e">
        <f>VLOOKUP(A310,'Overall Results'!$B$2:$I$543,10,FALSE)</f>
        <v>#REF!</v>
      </c>
      <c r="E310" s="3">
        <v>330.5</v>
      </c>
      <c r="F310" s="3">
        <v>5.6</v>
      </c>
      <c r="G310" s="8" t="e">
        <f>ABS(Table2[[#This Row],[E - FPts]]-Table2[[#This Row],[FPts]])</f>
        <v>#REF!</v>
      </c>
      <c r="H310" s="8" t="e">
        <f>ABS(Table2[[#This Row],[E - FP/G]]-Table2[[#This Row],[FP/G]])</f>
        <v>#REF!</v>
      </c>
    </row>
    <row r="311" spans="1:8" x14ac:dyDescent="0.25">
      <c r="A311" t="s">
        <v>1239</v>
      </c>
      <c r="B311" t="s">
        <v>1240</v>
      </c>
      <c r="C311" t="e">
        <f>VLOOKUP(A311,'Overall Results'!$B$2:$I$543,9,FALSE)</f>
        <v>#N/A</v>
      </c>
      <c r="D311" t="e">
        <f>VLOOKUP(A311,'Overall Results'!$B$2:$I$543,10,FALSE)</f>
        <v>#N/A</v>
      </c>
      <c r="E311" s="3">
        <v>1.5</v>
      </c>
      <c r="F311" s="3">
        <v>1.5</v>
      </c>
      <c r="G311" s="8" t="e">
        <f>ABS(Table2[[#This Row],[E - FPts]]-Table2[[#This Row],[FPts]])</f>
        <v>#N/A</v>
      </c>
      <c r="H311" s="8" t="e">
        <f>ABS(Table2[[#This Row],[E - FP/G]]-Table2[[#This Row],[FP/G]])</f>
        <v>#N/A</v>
      </c>
    </row>
    <row r="312" spans="1:8" x14ac:dyDescent="0.25">
      <c r="A312" t="s">
        <v>1334</v>
      </c>
      <c r="B312" t="s">
        <v>1335</v>
      </c>
      <c r="C312" t="e">
        <f>VLOOKUP(A312,'Overall Results'!$B$2:$I$543,9,FALSE)</f>
        <v>#N/A</v>
      </c>
      <c r="D312" t="e">
        <f>VLOOKUP(A312,'Overall Results'!$B$2:$I$543,10,FALSE)</f>
        <v>#N/A</v>
      </c>
      <c r="E312" s="3">
        <v>147.94999999999999</v>
      </c>
      <c r="F312" s="3">
        <v>2.21</v>
      </c>
      <c r="G312" s="8" t="e">
        <f>ABS(Table2[[#This Row],[E - FPts]]-Table2[[#This Row],[FPts]])</f>
        <v>#N/A</v>
      </c>
      <c r="H312" s="8" t="e">
        <f>ABS(Table2[[#This Row],[E - FP/G]]-Table2[[#This Row],[FP/G]])</f>
        <v>#N/A</v>
      </c>
    </row>
    <row r="313" spans="1:8" x14ac:dyDescent="0.25">
      <c r="A313" t="s">
        <v>623</v>
      </c>
      <c r="B313" t="s">
        <v>624</v>
      </c>
      <c r="C313" t="e">
        <f>VLOOKUP(A313,'Overall Results'!$B$2:$I$543,9,FALSE)</f>
        <v>#REF!</v>
      </c>
      <c r="D313" t="e">
        <f>VLOOKUP(A313,'Overall Results'!$B$2:$I$543,10,FALSE)</f>
        <v>#REF!</v>
      </c>
      <c r="E313" s="3">
        <v>42.4</v>
      </c>
      <c r="F313" s="3">
        <v>4.24</v>
      </c>
      <c r="G313" s="8" t="e">
        <f>ABS(Table2[[#This Row],[E - FPts]]-Table2[[#This Row],[FPts]])</f>
        <v>#REF!</v>
      </c>
      <c r="H313" s="8" t="e">
        <f>ABS(Table2[[#This Row],[E - FP/G]]-Table2[[#This Row],[FP/G]])</f>
        <v>#REF!</v>
      </c>
    </row>
    <row r="314" spans="1:8" x14ac:dyDescent="0.25">
      <c r="A314" t="s">
        <v>787</v>
      </c>
      <c r="B314" t="s">
        <v>788</v>
      </c>
      <c r="C314" t="e">
        <f>VLOOKUP(A314,'Overall Results'!$B$2:$I$543,9,FALSE)</f>
        <v>#REF!</v>
      </c>
      <c r="D314" t="e">
        <f>VLOOKUP(A314,'Overall Results'!$B$2:$I$543,10,FALSE)</f>
        <v>#REF!</v>
      </c>
      <c r="E314" s="3">
        <v>197.2</v>
      </c>
      <c r="F314" s="3">
        <v>3.08</v>
      </c>
      <c r="G314" s="8" t="e">
        <f>ABS(Table2[[#This Row],[E - FPts]]-Table2[[#This Row],[FPts]])</f>
        <v>#REF!</v>
      </c>
      <c r="H314" s="8" t="e">
        <f>ABS(Table2[[#This Row],[E - FP/G]]-Table2[[#This Row],[FP/G]])</f>
        <v>#REF!</v>
      </c>
    </row>
    <row r="315" spans="1:8" x14ac:dyDescent="0.25">
      <c r="A315" t="s">
        <v>1001</v>
      </c>
      <c r="B315" t="s">
        <v>1002</v>
      </c>
      <c r="C315" t="e">
        <f>VLOOKUP(A315,'Overall Results'!$B$2:$I$543,9,FALSE)</f>
        <v>#N/A</v>
      </c>
      <c r="D315" t="e">
        <f>VLOOKUP(A315,'Overall Results'!$B$2:$I$543,10,FALSE)</f>
        <v>#N/A</v>
      </c>
      <c r="E315" s="3">
        <v>217.65</v>
      </c>
      <c r="F315" s="3">
        <v>2.65</v>
      </c>
      <c r="G315" s="8" t="e">
        <f>ABS(Table2[[#This Row],[E - FPts]]-Table2[[#This Row],[FPts]])</f>
        <v>#N/A</v>
      </c>
      <c r="H315" s="8" t="e">
        <f>ABS(Table2[[#This Row],[E - FP/G]]-Table2[[#This Row],[FP/G]])</f>
        <v>#N/A</v>
      </c>
    </row>
    <row r="316" spans="1:8" x14ac:dyDescent="0.25">
      <c r="A316" t="s">
        <v>989</v>
      </c>
      <c r="B316" t="s">
        <v>990</v>
      </c>
      <c r="C316" t="e">
        <f>VLOOKUP(A316,'Overall Results'!$B$2:$I$543,9,FALSE)</f>
        <v>#N/A</v>
      </c>
      <c r="D316" t="e">
        <f>VLOOKUP(A316,'Overall Results'!$B$2:$I$543,10,FALSE)</f>
        <v>#N/A</v>
      </c>
      <c r="E316" s="3">
        <v>185.45</v>
      </c>
      <c r="F316" s="3">
        <v>2.3199999999999998</v>
      </c>
      <c r="G316" s="8" t="e">
        <f>ABS(Table2[[#This Row],[E - FPts]]-Table2[[#This Row],[FPts]])</f>
        <v>#N/A</v>
      </c>
      <c r="H316" s="8" t="e">
        <f>ABS(Table2[[#This Row],[E - FP/G]]-Table2[[#This Row],[FP/G]])</f>
        <v>#N/A</v>
      </c>
    </row>
    <row r="317" spans="1:8" x14ac:dyDescent="0.25">
      <c r="A317" t="s">
        <v>653</v>
      </c>
      <c r="B317" t="s">
        <v>654</v>
      </c>
      <c r="C317" t="e">
        <f>VLOOKUP(A317,'Overall Results'!$B$2:$I$543,9,FALSE)</f>
        <v>#REF!</v>
      </c>
      <c r="D317" t="e">
        <f>VLOOKUP(A317,'Overall Results'!$B$2:$I$543,10,FALSE)</f>
        <v>#REF!</v>
      </c>
      <c r="E317" s="3">
        <v>205.2</v>
      </c>
      <c r="F317" s="3">
        <v>3.73</v>
      </c>
      <c r="G317" s="8" t="e">
        <f>ABS(Table2[[#This Row],[E - FPts]]-Table2[[#This Row],[FPts]])</f>
        <v>#REF!</v>
      </c>
      <c r="H317" s="8" t="e">
        <f>ABS(Table2[[#This Row],[E - FP/G]]-Table2[[#This Row],[FP/G]])</f>
        <v>#REF!</v>
      </c>
    </row>
    <row r="318" spans="1:8" x14ac:dyDescent="0.25">
      <c r="A318" t="s">
        <v>995</v>
      </c>
      <c r="B318" t="s">
        <v>996</v>
      </c>
      <c r="C318" t="e">
        <f>VLOOKUP(A318,'Overall Results'!$B$2:$I$543,9,FALSE)</f>
        <v>#REF!</v>
      </c>
      <c r="D318" t="e">
        <f>VLOOKUP(A318,'Overall Results'!$B$2:$I$543,10,FALSE)</f>
        <v>#REF!</v>
      </c>
      <c r="E318" s="3">
        <v>110.65</v>
      </c>
      <c r="F318" s="3">
        <v>2.13</v>
      </c>
      <c r="G318" s="8" t="e">
        <f>ABS(Table2[[#This Row],[E - FPts]]-Table2[[#This Row],[FPts]])</f>
        <v>#REF!</v>
      </c>
      <c r="H318" s="8" t="e">
        <f>ABS(Table2[[#This Row],[E - FP/G]]-Table2[[#This Row],[FP/G]])</f>
        <v>#REF!</v>
      </c>
    </row>
    <row r="319" spans="1:8" x14ac:dyDescent="0.25">
      <c r="A319" t="s">
        <v>1514</v>
      </c>
      <c r="B319" t="s">
        <v>1515</v>
      </c>
      <c r="C319" t="e">
        <f>VLOOKUP(A319,'Overall Results'!$B$2:$I$543,9,FALSE)</f>
        <v>#N/A</v>
      </c>
      <c r="D319" t="e">
        <f>VLOOKUP(A319,'Overall Results'!$B$2:$I$543,10,FALSE)</f>
        <v>#N/A</v>
      </c>
      <c r="E319" s="3">
        <v>9.25</v>
      </c>
      <c r="F319" s="3">
        <v>2.31</v>
      </c>
      <c r="G319" s="8" t="e">
        <f>ABS(Table2[[#This Row],[E - FPts]]-Table2[[#This Row],[FPts]])</f>
        <v>#N/A</v>
      </c>
      <c r="H319" s="8" t="e">
        <f>ABS(Table2[[#This Row],[E - FP/G]]-Table2[[#This Row],[FP/G]])</f>
        <v>#N/A</v>
      </c>
    </row>
    <row r="320" spans="1:8" x14ac:dyDescent="0.25">
      <c r="A320" t="s">
        <v>1304</v>
      </c>
      <c r="B320" t="s">
        <v>1305</v>
      </c>
      <c r="C320" t="e">
        <f>VLOOKUP(A320,'Overall Results'!$B$2:$I$543,9,FALSE)</f>
        <v>#N/A</v>
      </c>
      <c r="D320" t="e">
        <f>VLOOKUP(A320,'Overall Results'!$B$2:$I$543,10,FALSE)</f>
        <v>#N/A</v>
      </c>
      <c r="E320" s="3">
        <v>68.75</v>
      </c>
      <c r="F320" s="3">
        <v>1.91</v>
      </c>
      <c r="G320" s="8" t="e">
        <f>ABS(Table2[[#This Row],[E - FPts]]-Table2[[#This Row],[FPts]])</f>
        <v>#N/A</v>
      </c>
      <c r="H320" s="8" t="e">
        <f>ABS(Table2[[#This Row],[E - FP/G]]-Table2[[#This Row],[FP/G]])</f>
        <v>#N/A</v>
      </c>
    </row>
    <row r="321" spans="1:8" x14ac:dyDescent="0.25">
      <c r="A321" t="s">
        <v>965</v>
      </c>
      <c r="B321" t="s">
        <v>966</v>
      </c>
      <c r="C321" t="e">
        <f>VLOOKUP(A321,'Overall Results'!$B$2:$I$543,9,FALSE)</f>
        <v>#REF!</v>
      </c>
      <c r="D321" t="e">
        <f>VLOOKUP(A321,'Overall Results'!$B$2:$I$543,10,FALSE)</f>
        <v>#REF!</v>
      </c>
      <c r="E321" s="3">
        <v>177.9</v>
      </c>
      <c r="F321" s="3">
        <v>3.49</v>
      </c>
      <c r="G321" s="8" t="e">
        <f>ABS(Table2[[#This Row],[E - FPts]]-Table2[[#This Row],[FPts]])</f>
        <v>#REF!</v>
      </c>
      <c r="H321" s="8" t="e">
        <f>ABS(Table2[[#This Row],[E - FP/G]]-Table2[[#This Row],[FP/G]])</f>
        <v>#REF!</v>
      </c>
    </row>
    <row r="322" spans="1:8" x14ac:dyDescent="0.25">
      <c r="A322" t="s">
        <v>1157</v>
      </c>
      <c r="B322" t="s">
        <v>1158</v>
      </c>
      <c r="C322" t="e">
        <f>VLOOKUP(A322,'Overall Results'!$B$2:$I$543,9,FALSE)</f>
        <v>#N/A</v>
      </c>
      <c r="D322" t="e">
        <f>VLOOKUP(A322,'Overall Results'!$B$2:$I$543,10,FALSE)</f>
        <v>#N/A</v>
      </c>
      <c r="E322" s="3">
        <v>1.95</v>
      </c>
      <c r="F322" s="3">
        <v>0.97</v>
      </c>
      <c r="G322" s="8" t="e">
        <f>ABS(Table2[[#This Row],[E - FPts]]-Table2[[#This Row],[FPts]])</f>
        <v>#N/A</v>
      </c>
      <c r="H322" s="8" t="e">
        <f>ABS(Table2[[#This Row],[E - FP/G]]-Table2[[#This Row],[FP/G]])</f>
        <v>#N/A</v>
      </c>
    </row>
    <row r="323" spans="1:8" x14ac:dyDescent="0.25">
      <c r="A323" t="s">
        <v>951</v>
      </c>
      <c r="B323" t="s">
        <v>952</v>
      </c>
      <c r="C323" t="e">
        <f>VLOOKUP(A323,'Overall Results'!$B$2:$I$543,9,FALSE)</f>
        <v>#REF!</v>
      </c>
      <c r="D323" t="e">
        <f>VLOOKUP(A323,'Overall Results'!$B$2:$I$543,10,FALSE)</f>
        <v>#REF!</v>
      </c>
      <c r="E323" s="3">
        <v>200.9</v>
      </c>
      <c r="F323" s="3">
        <v>2.68</v>
      </c>
      <c r="G323" s="8" t="e">
        <f>ABS(Table2[[#This Row],[E - FPts]]-Table2[[#This Row],[FPts]])</f>
        <v>#REF!</v>
      </c>
      <c r="H323" s="8" t="e">
        <f>ABS(Table2[[#This Row],[E - FP/G]]-Table2[[#This Row],[FP/G]])</f>
        <v>#REF!</v>
      </c>
    </row>
    <row r="324" spans="1:8" x14ac:dyDescent="0.25">
      <c r="A324" t="s">
        <v>373</v>
      </c>
      <c r="B324" t="s">
        <v>374</v>
      </c>
      <c r="C324" t="e">
        <f>VLOOKUP(A324,'Overall Results'!$B$2:$I$543,9,FALSE)</f>
        <v>#REF!</v>
      </c>
      <c r="D324" t="e">
        <f>VLOOKUP(A324,'Overall Results'!$B$2:$I$543,10,FALSE)</f>
        <v>#REF!</v>
      </c>
      <c r="E324" s="3">
        <v>384.35</v>
      </c>
      <c r="F324" s="3">
        <v>4.75</v>
      </c>
      <c r="G324" s="8" t="e">
        <f>ABS(Table2[[#This Row],[E - FPts]]-Table2[[#This Row],[FPts]])</f>
        <v>#REF!</v>
      </c>
      <c r="H324" s="8" t="e">
        <f>ABS(Table2[[#This Row],[E - FP/G]]-Table2[[#This Row],[FP/G]])</f>
        <v>#REF!</v>
      </c>
    </row>
    <row r="325" spans="1:8" x14ac:dyDescent="0.25">
      <c r="A325" t="s">
        <v>305</v>
      </c>
      <c r="B325" t="s">
        <v>306</v>
      </c>
      <c r="C325" t="e">
        <f>VLOOKUP(A325,'Overall Results'!$B$2:$I$543,9,FALSE)</f>
        <v>#REF!</v>
      </c>
      <c r="D325" t="e">
        <f>VLOOKUP(A325,'Overall Results'!$B$2:$I$543,10,FALSE)</f>
        <v>#REF!</v>
      </c>
      <c r="E325" s="3">
        <v>397.35</v>
      </c>
      <c r="F325" s="3">
        <v>4.91</v>
      </c>
      <c r="G325" s="8" t="e">
        <f>ABS(Table2[[#This Row],[E - FPts]]-Table2[[#This Row],[FPts]])</f>
        <v>#REF!</v>
      </c>
      <c r="H325" s="8" t="e">
        <f>ABS(Table2[[#This Row],[E - FP/G]]-Table2[[#This Row],[FP/G]])</f>
        <v>#REF!</v>
      </c>
    </row>
    <row r="326" spans="1:8" x14ac:dyDescent="0.25">
      <c r="A326" t="s">
        <v>553</v>
      </c>
      <c r="B326" t="s">
        <v>554</v>
      </c>
      <c r="C326" t="e">
        <f>VLOOKUP(A326,'Overall Results'!$B$2:$I$543,9,FALSE)</f>
        <v>#REF!</v>
      </c>
      <c r="D326" t="e">
        <f>VLOOKUP(A326,'Overall Results'!$B$2:$I$543,10,FALSE)</f>
        <v>#REF!</v>
      </c>
      <c r="E326" s="3">
        <v>301.95</v>
      </c>
      <c r="F326" s="3">
        <v>3.82</v>
      </c>
      <c r="G326" s="8" t="e">
        <f>ABS(Table2[[#This Row],[E - FPts]]-Table2[[#This Row],[FPts]])</f>
        <v>#REF!</v>
      </c>
      <c r="H326" s="8" t="e">
        <f>ABS(Table2[[#This Row],[E - FP/G]]-Table2[[#This Row],[FP/G]])</f>
        <v>#REF!</v>
      </c>
    </row>
    <row r="327" spans="1:8" x14ac:dyDescent="0.25">
      <c r="A327" t="s">
        <v>1516</v>
      </c>
      <c r="B327" t="s">
        <v>1517</v>
      </c>
      <c r="C327" t="e">
        <f>VLOOKUP(A327,'Overall Results'!$B$2:$I$543,9,FALSE)</f>
        <v>#N/A</v>
      </c>
      <c r="D327" t="e">
        <f>VLOOKUP(A327,'Overall Results'!$B$2:$I$543,10,FALSE)</f>
        <v>#N/A</v>
      </c>
      <c r="E327" s="3">
        <v>158.69999999999999</v>
      </c>
      <c r="F327" s="3">
        <v>2.12</v>
      </c>
      <c r="G327" s="8" t="e">
        <f>ABS(Table2[[#This Row],[E - FPts]]-Table2[[#This Row],[FPts]])</f>
        <v>#N/A</v>
      </c>
      <c r="H327" s="8" t="e">
        <f>ABS(Table2[[#This Row],[E - FP/G]]-Table2[[#This Row],[FP/G]])</f>
        <v>#N/A</v>
      </c>
    </row>
    <row r="328" spans="1:8" x14ac:dyDescent="0.25">
      <c r="A328" t="s">
        <v>609</v>
      </c>
      <c r="B328" t="s">
        <v>610</v>
      </c>
      <c r="C328" t="e">
        <f>VLOOKUP(A328,'Overall Results'!$B$2:$I$543,9,FALSE)</f>
        <v>#REF!</v>
      </c>
      <c r="D328" t="e">
        <f>VLOOKUP(A328,'Overall Results'!$B$2:$I$543,10,FALSE)</f>
        <v>#REF!</v>
      </c>
      <c r="E328" s="3">
        <v>185.65</v>
      </c>
      <c r="F328" s="3">
        <v>3.57</v>
      </c>
      <c r="G328" s="8" t="e">
        <f>ABS(Table2[[#This Row],[E - FPts]]-Table2[[#This Row],[FPts]])</f>
        <v>#REF!</v>
      </c>
      <c r="H328" s="8" t="e">
        <f>ABS(Table2[[#This Row],[E - FP/G]]-Table2[[#This Row],[FP/G]])</f>
        <v>#REF!</v>
      </c>
    </row>
    <row r="329" spans="1:8" x14ac:dyDescent="0.25">
      <c r="A329" t="s">
        <v>1203</v>
      </c>
      <c r="B329" t="s">
        <v>1204</v>
      </c>
      <c r="C329" t="e">
        <f>VLOOKUP(A329,'Overall Results'!$B$2:$I$543,9,FALSE)</f>
        <v>#N/A</v>
      </c>
      <c r="D329" t="e">
        <f>VLOOKUP(A329,'Overall Results'!$B$2:$I$543,10,FALSE)</f>
        <v>#N/A</v>
      </c>
      <c r="E329" s="3">
        <v>76.95</v>
      </c>
      <c r="F329" s="3">
        <v>1.92</v>
      </c>
      <c r="G329" s="8" t="e">
        <f>ABS(Table2[[#This Row],[E - FPts]]-Table2[[#This Row],[FPts]])</f>
        <v>#N/A</v>
      </c>
      <c r="H329" s="8" t="e">
        <f>ABS(Table2[[#This Row],[E - FP/G]]-Table2[[#This Row],[FP/G]])</f>
        <v>#N/A</v>
      </c>
    </row>
    <row r="330" spans="1:8" x14ac:dyDescent="0.25">
      <c r="A330" t="s">
        <v>647</v>
      </c>
      <c r="B330" t="s">
        <v>648</v>
      </c>
      <c r="C330" t="e">
        <f>VLOOKUP(A330,'Overall Results'!$B$2:$I$543,9,FALSE)</f>
        <v>#REF!</v>
      </c>
      <c r="D330" t="e">
        <f>VLOOKUP(A330,'Overall Results'!$B$2:$I$543,10,FALSE)</f>
        <v>#REF!</v>
      </c>
      <c r="E330" s="3">
        <v>234.7</v>
      </c>
      <c r="F330" s="3">
        <v>3.09</v>
      </c>
      <c r="G330" s="8" t="e">
        <f>ABS(Table2[[#This Row],[E - FPts]]-Table2[[#This Row],[FPts]])</f>
        <v>#REF!</v>
      </c>
      <c r="H330" s="8" t="e">
        <f>ABS(Table2[[#This Row],[E - FP/G]]-Table2[[#This Row],[FP/G]])</f>
        <v>#REF!</v>
      </c>
    </row>
    <row r="331" spans="1:8" x14ac:dyDescent="0.25">
      <c r="A331" t="s">
        <v>1344</v>
      </c>
      <c r="B331" t="s">
        <v>1345</v>
      </c>
      <c r="C331" t="e">
        <f>VLOOKUP(A331,'Overall Results'!$B$2:$I$543,9,FALSE)</f>
        <v>#N/A</v>
      </c>
      <c r="D331" t="e">
        <f>VLOOKUP(A331,'Overall Results'!$B$2:$I$543,10,FALSE)</f>
        <v>#N/A</v>
      </c>
      <c r="E331" s="3">
        <v>90.2</v>
      </c>
      <c r="F331" s="3">
        <v>2.15</v>
      </c>
      <c r="G331" s="8" t="e">
        <f>ABS(Table2[[#This Row],[E - FPts]]-Table2[[#This Row],[FPts]])</f>
        <v>#N/A</v>
      </c>
      <c r="H331" s="8" t="e">
        <f>ABS(Table2[[#This Row],[E - FP/G]]-Table2[[#This Row],[FP/G]])</f>
        <v>#N/A</v>
      </c>
    </row>
    <row r="332" spans="1:8" x14ac:dyDescent="0.25">
      <c r="A332" t="s">
        <v>861</v>
      </c>
      <c r="B332" t="s">
        <v>862</v>
      </c>
      <c r="C332" t="e">
        <f>VLOOKUP(A332,'Overall Results'!$B$2:$I$543,9,FALSE)</f>
        <v>#REF!</v>
      </c>
      <c r="D332" t="e">
        <f>VLOOKUP(A332,'Overall Results'!$B$2:$I$543,10,FALSE)</f>
        <v>#REF!</v>
      </c>
      <c r="E332" s="3">
        <v>250.1</v>
      </c>
      <c r="F332" s="3">
        <v>3.05</v>
      </c>
      <c r="G332" s="8" t="e">
        <f>ABS(Table2[[#This Row],[E - FPts]]-Table2[[#This Row],[FPts]])</f>
        <v>#REF!</v>
      </c>
      <c r="H332" s="8" t="e">
        <f>ABS(Table2[[#This Row],[E - FP/G]]-Table2[[#This Row],[FP/G]])</f>
        <v>#REF!</v>
      </c>
    </row>
    <row r="333" spans="1:8" x14ac:dyDescent="0.25">
      <c r="A333" t="s">
        <v>1107</v>
      </c>
      <c r="B333" t="s">
        <v>1108</v>
      </c>
      <c r="C333" t="e">
        <f>VLOOKUP(A333,'Overall Results'!$B$2:$I$543,9,FALSE)</f>
        <v>#REF!</v>
      </c>
      <c r="D333" t="e">
        <f>VLOOKUP(A333,'Overall Results'!$B$2:$I$543,10,FALSE)</f>
        <v>#REF!</v>
      </c>
      <c r="E333" s="3">
        <v>174.35</v>
      </c>
      <c r="F333" s="3">
        <v>2.42</v>
      </c>
      <c r="G333" s="8" t="e">
        <f>ABS(Table2[[#This Row],[E - FPts]]-Table2[[#This Row],[FPts]])</f>
        <v>#REF!</v>
      </c>
      <c r="H333" s="8" t="e">
        <f>ABS(Table2[[#This Row],[E - FP/G]]-Table2[[#This Row],[FP/G]])</f>
        <v>#REF!</v>
      </c>
    </row>
    <row r="334" spans="1:8" x14ac:dyDescent="0.25">
      <c r="A334" t="s">
        <v>1215</v>
      </c>
      <c r="B334" t="s">
        <v>1216</v>
      </c>
      <c r="C334" t="e">
        <f>VLOOKUP(A334,'Overall Results'!$B$2:$I$543,9,FALSE)</f>
        <v>#N/A</v>
      </c>
      <c r="D334" t="e">
        <f>VLOOKUP(A334,'Overall Results'!$B$2:$I$543,10,FALSE)</f>
        <v>#N/A</v>
      </c>
      <c r="E334" s="3">
        <v>64.05</v>
      </c>
      <c r="F334" s="3">
        <v>1.64</v>
      </c>
      <c r="G334" s="8" t="e">
        <f>ABS(Table2[[#This Row],[E - FPts]]-Table2[[#This Row],[FPts]])</f>
        <v>#N/A</v>
      </c>
      <c r="H334" s="8" t="e">
        <f>ABS(Table2[[#This Row],[E - FP/G]]-Table2[[#This Row],[FP/G]])</f>
        <v>#N/A</v>
      </c>
    </row>
    <row r="335" spans="1:8" x14ac:dyDescent="0.25">
      <c r="A335" t="s">
        <v>487</v>
      </c>
      <c r="B335" t="s">
        <v>488</v>
      </c>
      <c r="C335" t="e">
        <f>VLOOKUP(A335,'Overall Results'!$B$2:$I$543,9,FALSE)</f>
        <v>#REF!</v>
      </c>
      <c r="D335" t="e">
        <f>VLOOKUP(A335,'Overall Results'!$B$2:$I$543,10,FALSE)</f>
        <v>#REF!</v>
      </c>
      <c r="E335" s="3">
        <v>380.55</v>
      </c>
      <c r="F335" s="3">
        <v>4.88</v>
      </c>
      <c r="G335" s="8" t="e">
        <f>ABS(Table2[[#This Row],[E - FPts]]-Table2[[#This Row],[FPts]])</f>
        <v>#REF!</v>
      </c>
      <c r="H335" s="8" t="e">
        <f>ABS(Table2[[#This Row],[E - FP/G]]-Table2[[#This Row],[FP/G]])</f>
        <v>#REF!</v>
      </c>
    </row>
    <row r="336" spans="1:8" x14ac:dyDescent="0.25">
      <c r="A336" t="s">
        <v>679</v>
      </c>
      <c r="B336" t="s">
        <v>680</v>
      </c>
      <c r="C336" t="e">
        <f>VLOOKUP(A336,'Overall Results'!$B$2:$I$543,9,FALSE)</f>
        <v>#REF!</v>
      </c>
      <c r="D336" t="e">
        <f>VLOOKUP(A336,'Overall Results'!$B$2:$I$543,10,FALSE)</f>
        <v>#REF!</v>
      </c>
      <c r="E336" s="3">
        <v>243.35</v>
      </c>
      <c r="F336" s="3">
        <v>3.63</v>
      </c>
      <c r="G336" s="8" t="e">
        <f>ABS(Table2[[#This Row],[E - FPts]]-Table2[[#This Row],[FPts]])</f>
        <v>#REF!</v>
      </c>
      <c r="H336" s="8" t="e">
        <f>ABS(Table2[[#This Row],[E - FP/G]]-Table2[[#This Row],[FP/G]])</f>
        <v>#REF!</v>
      </c>
    </row>
    <row r="337" spans="1:8" x14ac:dyDescent="0.25">
      <c r="A337" t="s">
        <v>1129</v>
      </c>
      <c r="B337" t="s">
        <v>1130</v>
      </c>
      <c r="C337" t="e">
        <f>VLOOKUP(A337,'Overall Results'!$B$2:$I$543,9,FALSE)</f>
        <v>#REF!</v>
      </c>
      <c r="D337" t="e">
        <f>VLOOKUP(A337,'Overall Results'!$B$2:$I$543,10,FALSE)</f>
        <v>#REF!</v>
      </c>
      <c r="E337" s="3">
        <v>165.25</v>
      </c>
      <c r="F337" s="3">
        <v>2.36</v>
      </c>
      <c r="G337" s="8" t="e">
        <f>ABS(Table2[[#This Row],[E - FPts]]-Table2[[#This Row],[FPts]])</f>
        <v>#REF!</v>
      </c>
      <c r="H337" s="8" t="e">
        <f>ABS(Table2[[#This Row],[E - FP/G]]-Table2[[#This Row],[FP/G]])</f>
        <v>#REF!</v>
      </c>
    </row>
    <row r="338" spans="1:8" x14ac:dyDescent="0.25">
      <c r="A338" t="s">
        <v>135</v>
      </c>
      <c r="B338" t="s">
        <v>136</v>
      </c>
      <c r="C338" t="e">
        <f>VLOOKUP(A338,'Overall Results'!$B$2:$I$543,9,FALSE)</f>
        <v>#REF!</v>
      </c>
      <c r="D338" t="e">
        <f>VLOOKUP(A338,'Overall Results'!$B$2:$I$543,10,FALSE)</f>
        <v>#REF!</v>
      </c>
      <c r="E338" s="3">
        <v>461.65</v>
      </c>
      <c r="F338" s="3">
        <v>5.77</v>
      </c>
      <c r="G338" s="8" t="e">
        <f>ABS(Table2[[#This Row],[E - FPts]]-Table2[[#This Row],[FPts]])</f>
        <v>#REF!</v>
      </c>
      <c r="H338" s="8" t="e">
        <f>ABS(Table2[[#This Row],[E - FP/G]]-Table2[[#This Row],[FP/G]])</f>
        <v>#REF!</v>
      </c>
    </row>
    <row r="339" spans="1:8" x14ac:dyDescent="0.25">
      <c r="A339" t="s">
        <v>1131</v>
      </c>
      <c r="B339" t="s">
        <v>1132</v>
      </c>
      <c r="C339" t="e">
        <f>VLOOKUP(A339,'Overall Results'!$B$2:$I$543,9,FALSE)</f>
        <v>#N/A</v>
      </c>
      <c r="D339" t="e">
        <f>VLOOKUP(A339,'Overall Results'!$B$2:$I$543,10,FALSE)</f>
        <v>#N/A</v>
      </c>
      <c r="E339" s="3">
        <v>46.55</v>
      </c>
      <c r="F339" s="3">
        <v>1.37</v>
      </c>
      <c r="G339" s="8" t="e">
        <f>ABS(Table2[[#This Row],[E - FPts]]-Table2[[#This Row],[FPts]])</f>
        <v>#N/A</v>
      </c>
      <c r="H339" s="8" t="e">
        <f>ABS(Table2[[#This Row],[E - FP/G]]-Table2[[#This Row],[FP/G]])</f>
        <v>#N/A</v>
      </c>
    </row>
    <row r="340" spans="1:8" x14ac:dyDescent="0.25">
      <c r="A340" t="s">
        <v>70</v>
      </c>
      <c r="B340" t="s">
        <v>71</v>
      </c>
      <c r="C340" t="e">
        <f>VLOOKUP(A340,'Overall Results'!$B$2:$I$543,9,FALSE)</f>
        <v>#REF!</v>
      </c>
      <c r="D340" t="e">
        <f>VLOOKUP(A340,'Overall Results'!$B$2:$I$543,10,FALSE)</f>
        <v>#REF!</v>
      </c>
      <c r="E340" s="3">
        <v>546.29999999999995</v>
      </c>
      <c r="F340" s="3">
        <v>6.74</v>
      </c>
      <c r="G340" s="8" t="e">
        <f>ABS(Table2[[#This Row],[E - FPts]]-Table2[[#This Row],[FPts]])</f>
        <v>#REF!</v>
      </c>
      <c r="H340" s="8" t="e">
        <f>ABS(Table2[[#This Row],[E - FP/G]]-Table2[[#This Row],[FP/G]])</f>
        <v>#REF!</v>
      </c>
    </row>
    <row r="341" spans="1:8" x14ac:dyDescent="0.25">
      <c r="A341" t="s">
        <v>817</v>
      </c>
      <c r="B341" t="s">
        <v>818</v>
      </c>
      <c r="C341" t="e">
        <f>VLOOKUP(A341,'Overall Results'!$B$2:$I$543,9,FALSE)</f>
        <v>#REF!</v>
      </c>
      <c r="D341" t="e">
        <f>VLOOKUP(A341,'Overall Results'!$B$2:$I$543,10,FALSE)</f>
        <v>#REF!</v>
      </c>
      <c r="E341" s="3">
        <v>166.7</v>
      </c>
      <c r="F341" s="3">
        <v>2.6</v>
      </c>
      <c r="G341" s="8" t="e">
        <f>ABS(Table2[[#This Row],[E - FPts]]-Table2[[#This Row],[FPts]])</f>
        <v>#REF!</v>
      </c>
      <c r="H341" s="8" t="e">
        <f>ABS(Table2[[#This Row],[E - FP/G]]-Table2[[#This Row],[FP/G]])</f>
        <v>#REF!</v>
      </c>
    </row>
    <row r="342" spans="1:8" x14ac:dyDescent="0.25">
      <c r="A342" t="s">
        <v>363</v>
      </c>
      <c r="B342" t="s">
        <v>364</v>
      </c>
      <c r="C342" t="e">
        <f>VLOOKUP(A342,'Overall Results'!$B$2:$I$543,9,FALSE)</f>
        <v>#REF!</v>
      </c>
      <c r="D342" t="e">
        <f>VLOOKUP(A342,'Overall Results'!$B$2:$I$543,10,FALSE)</f>
        <v>#REF!</v>
      </c>
      <c r="E342" s="3">
        <v>421.5</v>
      </c>
      <c r="F342" s="3">
        <v>5.14</v>
      </c>
      <c r="G342" s="8" t="e">
        <f>ABS(Table2[[#This Row],[E - FPts]]-Table2[[#This Row],[FPts]])</f>
        <v>#REF!</v>
      </c>
      <c r="H342" s="8" t="e">
        <f>ABS(Table2[[#This Row],[E - FP/G]]-Table2[[#This Row],[FP/G]])</f>
        <v>#REF!</v>
      </c>
    </row>
    <row r="343" spans="1:8" x14ac:dyDescent="0.25">
      <c r="A343" t="s">
        <v>663</v>
      </c>
      <c r="B343" t="s">
        <v>664</v>
      </c>
      <c r="C343" t="e">
        <f>VLOOKUP(A343,'Overall Results'!$B$2:$I$543,9,FALSE)</f>
        <v>#REF!</v>
      </c>
      <c r="D343" t="e">
        <f>VLOOKUP(A343,'Overall Results'!$B$2:$I$543,10,FALSE)</f>
        <v>#REF!</v>
      </c>
      <c r="E343" s="3">
        <v>227.75</v>
      </c>
      <c r="F343" s="3">
        <v>3.04</v>
      </c>
      <c r="G343" s="8" t="e">
        <f>ABS(Table2[[#This Row],[E - FPts]]-Table2[[#This Row],[FPts]])</f>
        <v>#REF!</v>
      </c>
      <c r="H343" s="8" t="e">
        <f>ABS(Table2[[#This Row],[E - FP/G]]-Table2[[#This Row],[FP/G]])</f>
        <v>#REF!</v>
      </c>
    </row>
    <row r="344" spans="1:8" x14ac:dyDescent="0.25">
      <c r="A344" t="s">
        <v>124</v>
      </c>
      <c r="B344" t="s">
        <v>125</v>
      </c>
      <c r="C344" t="e">
        <f>VLOOKUP(A344,'Overall Results'!$B$2:$I$543,9,FALSE)</f>
        <v>#REF!</v>
      </c>
      <c r="D344" t="e">
        <f>VLOOKUP(A344,'Overall Results'!$B$2:$I$543,10,FALSE)</f>
        <v>#REF!</v>
      </c>
      <c r="E344" s="3">
        <v>292.75</v>
      </c>
      <c r="F344" s="3">
        <v>6.23</v>
      </c>
      <c r="G344" s="8" t="e">
        <f>ABS(Table2[[#This Row],[E - FPts]]-Table2[[#This Row],[FPts]])</f>
        <v>#REF!</v>
      </c>
      <c r="H344" s="8" t="e">
        <f>ABS(Table2[[#This Row],[E - FP/G]]-Table2[[#This Row],[FP/G]])</f>
        <v>#REF!</v>
      </c>
    </row>
    <row r="345" spans="1:8" x14ac:dyDescent="0.25">
      <c r="A345" t="s">
        <v>475</v>
      </c>
      <c r="B345" t="s">
        <v>476</v>
      </c>
      <c r="C345" t="e">
        <f>VLOOKUP(A345,'Overall Results'!$B$2:$I$543,9,FALSE)</f>
        <v>#REF!</v>
      </c>
      <c r="D345" t="e">
        <f>VLOOKUP(A345,'Overall Results'!$B$2:$I$543,10,FALSE)</f>
        <v>#REF!</v>
      </c>
      <c r="E345" s="3">
        <v>290.85000000000002</v>
      </c>
      <c r="F345" s="3">
        <v>3.64</v>
      </c>
      <c r="G345" s="8" t="e">
        <f>ABS(Table2[[#This Row],[E - FPts]]-Table2[[#This Row],[FPts]])</f>
        <v>#REF!</v>
      </c>
      <c r="H345" s="8" t="e">
        <f>ABS(Table2[[#This Row],[E - FP/G]]-Table2[[#This Row],[FP/G]])</f>
        <v>#REF!</v>
      </c>
    </row>
    <row r="346" spans="1:8" x14ac:dyDescent="0.25">
      <c r="A346" t="s">
        <v>549</v>
      </c>
      <c r="B346" t="s">
        <v>550</v>
      </c>
      <c r="C346" t="e">
        <f>VLOOKUP(A346,'Overall Results'!$B$2:$I$543,9,FALSE)</f>
        <v>#REF!</v>
      </c>
      <c r="D346" t="e">
        <f>VLOOKUP(A346,'Overall Results'!$B$2:$I$543,10,FALSE)</f>
        <v>#REF!</v>
      </c>
      <c r="E346" s="3">
        <v>349.45</v>
      </c>
      <c r="F346" s="3">
        <v>4.37</v>
      </c>
      <c r="G346" s="8" t="e">
        <f>ABS(Table2[[#This Row],[E - FPts]]-Table2[[#This Row],[FPts]])</f>
        <v>#REF!</v>
      </c>
      <c r="H346" s="8" t="e">
        <f>ABS(Table2[[#This Row],[E - FP/G]]-Table2[[#This Row],[FP/G]])</f>
        <v>#REF!</v>
      </c>
    </row>
    <row r="347" spans="1:8" x14ac:dyDescent="0.25">
      <c r="A347" t="s">
        <v>997</v>
      </c>
      <c r="B347" t="s">
        <v>998</v>
      </c>
      <c r="C347" t="e">
        <f>VLOOKUP(A347,'Overall Results'!$B$2:$I$543,9,FALSE)</f>
        <v>#REF!</v>
      </c>
      <c r="D347" t="e">
        <f>VLOOKUP(A347,'Overall Results'!$B$2:$I$543,10,FALSE)</f>
        <v>#REF!</v>
      </c>
      <c r="E347" s="3">
        <v>165.5</v>
      </c>
      <c r="F347" s="3">
        <v>2.63</v>
      </c>
      <c r="G347" s="8" t="e">
        <f>ABS(Table2[[#This Row],[E - FPts]]-Table2[[#This Row],[FPts]])</f>
        <v>#REF!</v>
      </c>
      <c r="H347" s="8" t="e">
        <f>ABS(Table2[[#This Row],[E - FP/G]]-Table2[[#This Row],[FP/G]])</f>
        <v>#REF!</v>
      </c>
    </row>
    <row r="348" spans="1:8" x14ac:dyDescent="0.25">
      <c r="A348" t="s">
        <v>1253</v>
      </c>
      <c r="B348" t="s">
        <v>1254</v>
      </c>
      <c r="C348" t="e">
        <f>VLOOKUP(A348,'Overall Results'!$B$2:$I$543,9,FALSE)</f>
        <v>#N/A</v>
      </c>
      <c r="D348" t="e">
        <f>VLOOKUP(A348,'Overall Results'!$B$2:$I$543,10,FALSE)</f>
        <v>#N/A</v>
      </c>
      <c r="E348" s="3">
        <v>108.1</v>
      </c>
      <c r="F348" s="3">
        <v>1.93</v>
      </c>
      <c r="G348" s="8" t="e">
        <f>ABS(Table2[[#This Row],[E - FPts]]-Table2[[#This Row],[FPts]])</f>
        <v>#N/A</v>
      </c>
      <c r="H348" s="8" t="e">
        <f>ABS(Table2[[#This Row],[E - FP/G]]-Table2[[#This Row],[FP/G]])</f>
        <v>#N/A</v>
      </c>
    </row>
    <row r="349" spans="1:8" x14ac:dyDescent="0.25">
      <c r="A349" t="s">
        <v>867</v>
      </c>
      <c r="B349" t="s">
        <v>868</v>
      </c>
      <c r="C349" t="e">
        <f>VLOOKUP(A349,'Overall Results'!$B$2:$I$543,9,FALSE)</f>
        <v>#REF!</v>
      </c>
      <c r="D349" t="e">
        <f>VLOOKUP(A349,'Overall Results'!$B$2:$I$543,10,FALSE)</f>
        <v>#REF!</v>
      </c>
      <c r="E349" s="3">
        <v>218.3</v>
      </c>
      <c r="F349" s="3">
        <v>2.87</v>
      </c>
      <c r="G349" s="8" t="e">
        <f>ABS(Table2[[#This Row],[E - FPts]]-Table2[[#This Row],[FPts]])</f>
        <v>#REF!</v>
      </c>
      <c r="H349" s="8" t="e">
        <f>ABS(Table2[[#This Row],[E - FP/G]]-Table2[[#This Row],[FP/G]])</f>
        <v>#REF!</v>
      </c>
    </row>
    <row r="350" spans="1:8" x14ac:dyDescent="0.25">
      <c r="A350" t="s">
        <v>319</v>
      </c>
      <c r="B350" t="s">
        <v>320</v>
      </c>
      <c r="C350" t="e">
        <f>VLOOKUP(A350,'Overall Results'!$B$2:$I$543,9,FALSE)</f>
        <v>#REF!</v>
      </c>
      <c r="D350" t="e">
        <f>VLOOKUP(A350,'Overall Results'!$B$2:$I$543,10,FALSE)</f>
        <v>#REF!</v>
      </c>
      <c r="E350" s="3">
        <v>373.4</v>
      </c>
      <c r="F350" s="3">
        <v>4.67</v>
      </c>
      <c r="G350" s="8" t="e">
        <f>ABS(Table2[[#This Row],[E - FPts]]-Table2[[#This Row],[FPts]])</f>
        <v>#REF!</v>
      </c>
      <c r="H350" s="8" t="e">
        <f>ABS(Table2[[#This Row],[E - FP/G]]-Table2[[#This Row],[FP/G]])</f>
        <v>#REF!</v>
      </c>
    </row>
    <row r="351" spans="1:8" x14ac:dyDescent="0.25">
      <c r="A351" t="s">
        <v>1153</v>
      </c>
      <c r="B351" t="s">
        <v>1154</v>
      </c>
      <c r="C351" t="e">
        <f>VLOOKUP(A351,'Overall Results'!$B$2:$I$543,9,FALSE)</f>
        <v>#N/A</v>
      </c>
      <c r="D351" t="e">
        <f>VLOOKUP(A351,'Overall Results'!$B$2:$I$543,10,FALSE)</f>
        <v>#N/A</v>
      </c>
      <c r="E351" s="3">
        <v>78.900000000000006</v>
      </c>
      <c r="F351" s="3">
        <v>2.25</v>
      </c>
      <c r="G351" s="8" t="e">
        <f>ABS(Table2[[#This Row],[E - FPts]]-Table2[[#This Row],[FPts]])</f>
        <v>#N/A</v>
      </c>
      <c r="H351" s="8" t="e">
        <f>ABS(Table2[[#This Row],[E - FP/G]]-Table2[[#This Row],[FP/G]])</f>
        <v>#N/A</v>
      </c>
    </row>
    <row r="352" spans="1:8" x14ac:dyDescent="0.25">
      <c r="A352" t="s">
        <v>739</v>
      </c>
      <c r="B352" t="s">
        <v>740</v>
      </c>
      <c r="C352" t="e">
        <f>VLOOKUP(A352,'Overall Results'!$B$2:$I$543,9,FALSE)</f>
        <v>#REF!</v>
      </c>
      <c r="D352" t="e">
        <f>VLOOKUP(A352,'Overall Results'!$B$2:$I$543,10,FALSE)</f>
        <v>#REF!</v>
      </c>
      <c r="E352" s="3">
        <v>233.05</v>
      </c>
      <c r="F352" s="3">
        <v>3.15</v>
      </c>
      <c r="G352" s="8" t="e">
        <f>ABS(Table2[[#This Row],[E - FPts]]-Table2[[#This Row],[FPts]])</f>
        <v>#REF!</v>
      </c>
      <c r="H352" s="8" t="e">
        <f>ABS(Table2[[#This Row],[E - FP/G]]-Table2[[#This Row],[FP/G]])</f>
        <v>#REF!</v>
      </c>
    </row>
    <row r="353" spans="1:8" x14ac:dyDescent="0.25">
      <c r="A353" t="s">
        <v>1137</v>
      </c>
      <c r="B353" t="s">
        <v>1138</v>
      </c>
      <c r="C353" t="e">
        <f>VLOOKUP(A353,'Overall Results'!$B$2:$I$543,9,FALSE)</f>
        <v>#REF!</v>
      </c>
      <c r="D353" t="e">
        <f>VLOOKUP(A353,'Overall Results'!$B$2:$I$543,10,FALSE)</f>
        <v>#REF!</v>
      </c>
      <c r="E353" s="3">
        <v>139.9</v>
      </c>
      <c r="F353" s="3">
        <v>2.59</v>
      </c>
      <c r="G353" s="8" t="e">
        <f>ABS(Table2[[#This Row],[E - FPts]]-Table2[[#This Row],[FPts]])</f>
        <v>#REF!</v>
      </c>
      <c r="H353" s="8" t="e">
        <f>ABS(Table2[[#This Row],[E - FP/G]]-Table2[[#This Row],[FP/G]])</f>
        <v>#REF!</v>
      </c>
    </row>
    <row r="354" spans="1:8" x14ac:dyDescent="0.25">
      <c r="A354" t="s">
        <v>1213</v>
      </c>
      <c r="B354" t="s">
        <v>1214</v>
      </c>
      <c r="C354" t="e">
        <f>VLOOKUP(A354,'Overall Results'!$B$2:$I$543,9,FALSE)</f>
        <v>#N/A</v>
      </c>
      <c r="D354" t="e">
        <f>VLOOKUP(A354,'Overall Results'!$B$2:$I$543,10,FALSE)</f>
        <v>#N/A</v>
      </c>
      <c r="E354" s="3">
        <v>72.849999999999994</v>
      </c>
      <c r="F354" s="3">
        <v>2.02</v>
      </c>
      <c r="G354" s="8" t="e">
        <f>ABS(Table2[[#This Row],[E - FPts]]-Table2[[#This Row],[FPts]])</f>
        <v>#N/A</v>
      </c>
      <c r="H354" s="8" t="e">
        <f>ABS(Table2[[#This Row],[E - FP/G]]-Table2[[#This Row],[FP/G]])</f>
        <v>#N/A</v>
      </c>
    </row>
    <row r="355" spans="1:8" x14ac:dyDescent="0.25">
      <c r="A355" t="s">
        <v>793</v>
      </c>
      <c r="B355" t="s">
        <v>794</v>
      </c>
      <c r="C355" t="e">
        <f>VLOOKUP(A355,'Overall Results'!$B$2:$I$543,9,FALSE)</f>
        <v>#REF!</v>
      </c>
      <c r="D355" t="e">
        <f>VLOOKUP(A355,'Overall Results'!$B$2:$I$543,10,FALSE)</f>
        <v>#REF!</v>
      </c>
      <c r="E355" s="3">
        <v>187.65</v>
      </c>
      <c r="F355" s="3">
        <v>3.47</v>
      </c>
      <c r="G355" s="8" t="e">
        <f>ABS(Table2[[#This Row],[E - FPts]]-Table2[[#This Row],[FPts]])</f>
        <v>#REF!</v>
      </c>
      <c r="H355" s="8" t="e">
        <f>ABS(Table2[[#This Row],[E - FP/G]]-Table2[[#This Row],[FP/G]])</f>
        <v>#REF!</v>
      </c>
    </row>
    <row r="356" spans="1:8" x14ac:dyDescent="0.25">
      <c r="A356" t="s">
        <v>192</v>
      </c>
      <c r="B356" t="s">
        <v>193</v>
      </c>
      <c r="C356" t="e">
        <f>VLOOKUP(A356,'Overall Results'!$B$2:$I$543,9,FALSE)</f>
        <v>#REF!</v>
      </c>
      <c r="D356" t="e">
        <f>VLOOKUP(A356,'Overall Results'!$B$2:$I$543,10,FALSE)</f>
        <v>#REF!</v>
      </c>
      <c r="E356" s="3">
        <v>391.75</v>
      </c>
      <c r="F356" s="3">
        <v>6.64</v>
      </c>
      <c r="G356" s="8" t="e">
        <f>ABS(Table2[[#This Row],[E - FPts]]-Table2[[#This Row],[FPts]])</f>
        <v>#REF!</v>
      </c>
      <c r="H356" s="8" t="e">
        <f>ABS(Table2[[#This Row],[E - FP/G]]-Table2[[#This Row],[FP/G]])</f>
        <v>#REF!</v>
      </c>
    </row>
    <row r="357" spans="1:8" x14ac:dyDescent="0.25">
      <c r="A357" t="s">
        <v>911</v>
      </c>
      <c r="B357" t="s">
        <v>912</v>
      </c>
      <c r="C357" t="e">
        <f>VLOOKUP(A357,'Overall Results'!$B$2:$I$543,9,FALSE)</f>
        <v>#N/A</v>
      </c>
      <c r="D357" t="e">
        <f>VLOOKUP(A357,'Overall Results'!$B$2:$I$543,10,FALSE)</f>
        <v>#N/A</v>
      </c>
      <c r="E357" s="3">
        <v>135.19999999999999</v>
      </c>
      <c r="F357" s="3">
        <v>2.65</v>
      </c>
      <c r="G357" s="8" t="e">
        <f>ABS(Table2[[#This Row],[E - FPts]]-Table2[[#This Row],[FPts]])</f>
        <v>#N/A</v>
      </c>
      <c r="H357" s="8" t="e">
        <f>ABS(Table2[[#This Row],[E - FP/G]]-Table2[[#This Row],[FP/G]])</f>
        <v>#N/A</v>
      </c>
    </row>
    <row r="358" spans="1:8" x14ac:dyDescent="0.25">
      <c r="A358" t="s">
        <v>991</v>
      </c>
      <c r="B358" t="s">
        <v>992</v>
      </c>
      <c r="C358" t="e">
        <f>VLOOKUP(A358,'Overall Results'!$B$2:$I$543,9,FALSE)</f>
        <v>#REF!</v>
      </c>
      <c r="D358" t="e">
        <f>VLOOKUP(A358,'Overall Results'!$B$2:$I$543,10,FALSE)</f>
        <v>#REF!</v>
      </c>
      <c r="E358" s="3">
        <v>189.7</v>
      </c>
      <c r="F358" s="3">
        <v>2.63</v>
      </c>
      <c r="G358" s="8" t="e">
        <f>ABS(Table2[[#This Row],[E - FPts]]-Table2[[#This Row],[FPts]])</f>
        <v>#REF!</v>
      </c>
      <c r="H358" s="8" t="e">
        <f>ABS(Table2[[#This Row],[E - FP/G]]-Table2[[#This Row],[FP/G]])</f>
        <v>#REF!</v>
      </c>
    </row>
    <row r="359" spans="1:8" x14ac:dyDescent="0.25">
      <c r="A359" t="s">
        <v>473</v>
      </c>
      <c r="B359" t="s">
        <v>474</v>
      </c>
      <c r="C359" t="e">
        <f>VLOOKUP(A359,'Overall Results'!$B$2:$I$543,9,FALSE)</f>
        <v>#REF!</v>
      </c>
      <c r="D359" t="e">
        <f>VLOOKUP(A359,'Overall Results'!$B$2:$I$543,10,FALSE)</f>
        <v>#REF!</v>
      </c>
      <c r="E359" s="3">
        <v>353.7</v>
      </c>
      <c r="F359" s="3">
        <v>4.3099999999999996</v>
      </c>
      <c r="G359" s="8" t="e">
        <f>ABS(Table2[[#This Row],[E - FPts]]-Table2[[#This Row],[FPts]])</f>
        <v>#REF!</v>
      </c>
      <c r="H359" s="8" t="e">
        <f>ABS(Table2[[#This Row],[E - FP/G]]-Table2[[#This Row],[FP/G]])</f>
        <v>#REF!</v>
      </c>
    </row>
    <row r="360" spans="1:8" x14ac:dyDescent="0.25">
      <c r="A360" t="s">
        <v>873</v>
      </c>
      <c r="B360" t="s">
        <v>874</v>
      </c>
      <c r="C360" t="e">
        <f>VLOOKUP(A360,'Overall Results'!$B$2:$I$543,9,FALSE)</f>
        <v>#REF!</v>
      </c>
      <c r="D360" t="e">
        <f>VLOOKUP(A360,'Overall Results'!$B$2:$I$543,10,FALSE)</f>
        <v>#REF!</v>
      </c>
      <c r="E360" s="3">
        <v>177.45</v>
      </c>
      <c r="F360" s="3">
        <v>2.91</v>
      </c>
      <c r="G360" s="8" t="e">
        <f>ABS(Table2[[#This Row],[E - FPts]]-Table2[[#This Row],[FPts]])</f>
        <v>#REF!</v>
      </c>
      <c r="H360" s="8" t="e">
        <f>ABS(Table2[[#This Row],[E - FP/G]]-Table2[[#This Row],[FP/G]])</f>
        <v>#REF!</v>
      </c>
    </row>
    <row r="361" spans="1:8" x14ac:dyDescent="0.25">
      <c r="A361" t="s">
        <v>953</v>
      </c>
      <c r="B361" t="s">
        <v>954</v>
      </c>
      <c r="C361" t="e">
        <f>VLOOKUP(A361,'Overall Results'!$B$2:$I$543,9,FALSE)</f>
        <v>#REF!</v>
      </c>
      <c r="D361" t="e">
        <f>VLOOKUP(A361,'Overall Results'!$B$2:$I$543,10,FALSE)</f>
        <v>#REF!</v>
      </c>
      <c r="E361" s="3">
        <v>212.3</v>
      </c>
      <c r="F361" s="3">
        <v>2.65</v>
      </c>
      <c r="G361" s="8" t="e">
        <f>ABS(Table2[[#This Row],[E - FPts]]-Table2[[#This Row],[FPts]])</f>
        <v>#REF!</v>
      </c>
      <c r="H361" s="8" t="e">
        <f>ABS(Table2[[#This Row],[E - FP/G]]-Table2[[#This Row],[FP/G]])</f>
        <v>#REF!</v>
      </c>
    </row>
    <row r="362" spans="1:8" x14ac:dyDescent="0.25">
      <c r="A362" t="s">
        <v>377</v>
      </c>
      <c r="B362" t="s">
        <v>378</v>
      </c>
      <c r="C362" t="e">
        <f>VLOOKUP(A362,'Overall Results'!$B$2:$I$543,9,FALSE)</f>
        <v>#REF!</v>
      </c>
      <c r="D362" t="e">
        <f>VLOOKUP(A362,'Overall Results'!$B$2:$I$543,10,FALSE)</f>
        <v>#REF!</v>
      </c>
      <c r="E362" s="3">
        <v>401.45</v>
      </c>
      <c r="F362" s="3">
        <v>4.96</v>
      </c>
      <c r="G362" s="8" t="e">
        <f>ABS(Table2[[#This Row],[E - FPts]]-Table2[[#This Row],[FPts]])</f>
        <v>#REF!</v>
      </c>
      <c r="H362" s="8" t="e">
        <f>ABS(Table2[[#This Row],[E - FP/G]]-Table2[[#This Row],[FP/G]])</f>
        <v>#REF!</v>
      </c>
    </row>
    <row r="363" spans="1:8" x14ac:dyDescent="0.25">
      <c r="A363" t="s">
        <v>465</v>
      </c>
      <c r="B363" t="s">
        <v>466</v>
      </c>
      <c r="C363" t="e">
        <f>VLOOKUP(A363,'Overall Results'!$B$2:$I$543,9,FALSE)</f>
        <v>#REF!</v>
      </c>
      <c r="D363" t="e">
        <f>VLOOKUP(A363,'Overall Results'!$B$2:$I$543,10,FALSE)</f>
        <v>#REF!</v>
      </c>
      <c r="E363" s="3">
        <v>373.6</v>
      </c>
      <c r="F363" s="3">
        <v>4.6100000000000003</v>
      </c>
      <c r="G363" s="8" t="e">
        <f>ABS(Table2[[#This Row],[E - FPts]]-Table2[[#This Row],[FPts]])</f>
        <v>#REF!</v>
      </c>
      <c r="H363" s="8" t="e">
        <f>ABS(Table2[[#This Row],[E - FP/G]]-Table2[[#This Row],[FP/G]])</f>
        <v>#REF!</v>
      </c>
    </row>
    <row r="364" spans="1:8" x14ac:dyDescent="0.25">
      <c r="A364" t="s">
        <v>243</v>
      </c>
      <c r="B364" t="s">
        <v>244</v>
      </c>
      <c r="C364" t="e">
        <f>VLOOKUP(A364,'Overall Results'!$B$2:$I$543,9,FALSE)</f>
        <v>#REF!</v>
      </c>
      <c r="D364" t="e">
        <f>VLOOKUP(A364,'Overall Results'!$B$2:$I$543,10,FALSE)</f>
        <v>#REF!</v>
      </c>
      <c r="E364" s="3">
        <v>422.85</v>
      </c>
      <c r="F364" s="3">
        <v>5.35</v>
      </c>
      <c r="G364" s="8" t="e">
        <f>ABS(Table2[[#This Row],[E - FPts]]-Table2[[#This Row],[FPts]])</f>
        <v>#REF!</v>
      </c>
      <c r="H364" s="8" t="e">
        <f>ABS(Table2[[#This Row],[E - FP/G]]-Table2[[#This Row],[FP/G]])</f>
        <v>#REF!</v>
      </c>
    </row>
    <row r="365" spans="1:8" x14ac:dyDescent="0.25">
      <c r="A365" t="s">
        <v>79</v>
      </c>
      <c r="B365" t="s">
        <v>80</v>
      </c>
      <c r="C365" t="e">
        <f>VLOOKUP(A365,'Overall Results'!$B$2:$I$543,9,FALSE)</f>
        <v>#REF!</v>
      </c>
      <c r="D365" t="e">
        <f>VLOOKUP(A365,'Overall Results'!$B$2:$I$543,10,FALSE)</f>
        <v>#REF!</v>
      </c>
      <c r="E365" s="3">
        <v>705.65</v>
      </c>
      <c r="F365" s="3">
        <v>8.7100000000000009</v>
      </c>
      <c r="G365" s="8" t="e">
        <f>ABS(Table2[[#This Row],[E - FPts]]-Table2[[#This Row],[FPts]])</f>
        <v>#REF!</v>
      </c>
      <c r="H365" s="8" t="e">
        <f>ABS(Table2[[#This Row],[E - FP/G]]-Table2[[#This Row],[FP/G]])</f>
        <v>#REF!</v>
      </c>
    </row>
    <row r="366" spans="1:8" x14ac:dyDescent="0.25">
      <c r="A366" t="s">
        <v>1263</v>
      </c>
      <c r="B366" t="s">
        <v>1264</v>
      </c>
      <c r="C366" t="e">
        <f>VLOOKUP(A366,'Overall Results'!$B$2:$I$543,9,FALSE)</f>
        <v>#N/A</v>
      </c>
      <c r="D366" t="e">
        <f>VLOOKUP(A366,'Overall Results'!$B$2:$I$543,10,FALSE)</f>
        <v>#N/A</v>
      </c>
      <c r="E366" s="3">
        <v>124.85</v>
      </c>
      <c r="F366" s="3">
        <v>2.0099999999999998</v>
      </c>
      <c r="G366" s="8" t="e">
        <f>ABS(Table2[[#This Row],[E - FPts]]-Table2[[#This Row],[FPts]])</f>
        <v>#N/A</v>
      </c>
      <c r="H366" s="8" t="e">
        <f>ABS(Table2[[#This Row],[E - FP/G]]-Table2[[#This Row],[FP/G]])</f>
        <v>#N/A</v>
      </c>
    </row>
    <row r="367" spans="1:8" x14ac:dyDescent="0.25">
      <c r="A367" t="s">
        <v>935</v>
      </c>
      <c r="B367" t="s">
        <v>936</v>
      </c>
      <c r="C367" t="e">
        <f>VLOOKUP(A367,'Overall Results'!$B$2:$I$543,9,FALSE)</f>
        <v>#REF!</v>
      </c>
      <c r="D367" t="e">
        <f>VLOOKUP(A367,'Overall Results'!$B$2:$I$543,10,FALSE)</f>
        <v>#REF!</v>
      </c>
      <c r="E367" s="3">
        <v>206.55</v>
      </c>
      <c r="F367" s="3">
        <v>2.72</v>
      </c>
      <c r="G367" s="8" t="e">
        <f>ABS(Table2[[#This Row],[E - FPts]]-Table2[[#This Row],[FPts]])</f>
        <v>#REF!</v>
      </c>
      <c r="H367" s="8" t="e">
        <f>ABS(Table2[[#This Row],[E - FP/G]]-Table2[[#This Row],[FP/G]])</f>
        <v>#REF!</v>
      </c>
    </row>
    <row r="368" spans="1:8" x14ac:dyDescent="0.25">
      <c r="A368" t="s">
        <v>1207</v>
      </c>
      <c r="B368" t="s">
        <v>1208</v>
      </c>
      <c r="C368" t="e">
        <f>VLOOKUP(A368,'Overall Results'!$B$2:$I$543,9,FALSE)</f>
        <v>#REF!</v>
      </c>
      <c r="D368" t="e">
        <f>VLOOKUP(A368,'Overall Results'!$B$2:$I$543,10,FALSE)</f>
        <v>#REF!</v>
      </c>
      <c r="E368" s="3">
        <v>60.8</v>
      </c>
      <c r="F368" s="3">
        <v>2.4300000000000002</v>
      </c>
      <c r="G368" s="8" t="e">
        <f>ABS(Table2[[#This Row],[E - FPts]]-Table2[[#This Row],[FPts]])</f>
        <v>#REF!</v>
      </c>
      <c r="H368" s="8" t="e">
        <f>ABS(Table2[[#This Row],[E - FP/G]]-Table2[[#This Row],[FP/G]])</f>
        <v>#REF!</v>
      </c>
    </row>
    <row r="369" spans="1:8" x14ac:dyDescent="0.25">
      <c r="A369" t="s">
        <v>535</v>
      </c>
      <c r="B369" t="s">
        <v>536</v>
      </c>
      <c r="C369" t="e">
        <f>VLOOKUP(A369,'Overall Results'!$B$2:$I$543,9,FALSE)</f>
        <v>#REF!</v>
      </c>
      <c r="D369" t="e">
        <f>VLOOKUP(A369,'Overall Results'!$B$2:$I$543,10,FALSE)</f>
        <v>#REF!</v>
      </c>
      <c r="E369" s="3">
        <v>322.3</v>
      </c>
      <c r="F369" s="3">
        <v>3.98</v>
      </c>
      <c r="G369" s="8" t="e">
        <f>ABS(Table2[[#This Row],[E - FPts]]-Table2[[#This Row],[FPts]])</f>
        <v>#REF!</v>
      </c>
      <c r="H369" s="8" t="e">
        <f>ABS(Table2[[#This Row],[E - FP/G]]-Table2[[#This Row],[FP/G]])</f>
        <v>#REF!</v>
      </c>
    </row>
    <row r="370" spans="1:8" x14ac:dyDescent="0.25">
      <c r="A370" t="s">
        <v>907</v>
      </c>
      <c r="B370" t="s">
        <v>908</v>
      </c>
      <c r="C370" t="e">
        <f>VLOOKUP(A370,'Overall Results'!$B$2:$I$543,9,FALSE)</f>
        <v>#REF!</v>
      </c>
      <c r="D370" t="e">
        <f>VLOOKUP(A370,'Overall Results'!$B$2:$I$543,10,FALSE)</f>
        <v>#REF!</v>
      </c>
      <c r="E370" s="3">
        <v>186.2</v>
      </c>
      <c r="F370" s="3">
        <v>3.21</v>
      </c>
      <c r="G370" s="8" t="e">
        <f>ABS(Table2[[#This Row],[E - FPts]]-Table2[[#This Row],[FPts]])</f>
        <v>#REF!</v>
      </c>
      <c r="H370" s="8" t="e">
        <f>ABS(Table2[[#This Row],[E - FP/G]]-Table2[[#This Row],[FP/G]])</f>
        <v>#REF!</v>
      </c>
    </row>
    <row r="371" spans="1:8" x14ac:dyDescent="0.25">
      <c r="A371" t="s">
        <v>253</v>
      </c>
      <c r="B371" t="s">
        <v>254</v>
      </c>
      <c r="C371" t="e">
        <f>VLOOKUP(A371,'Overall Results'!$B$2:$I$543,9,FALSE)</f>
        <v>#REF!</v>
      </c>
      <c r="D371" t="e">
        <f>VLOOKUP(A371,'Overall Results'!$B$2:$I$543,10,FALSE)</f>
        <v>#REF!</v>
      </c>
      <c r="E371" s="3">
        <v>560.75</v>
      </c>
      <c r="F371" s="3">
        <v>6.92</v>
      </c>
      <c r="G371" s="8" t="e">
        <f>ABS(Table2[[#This Row],[E - FPts]]-Table2[[#This Row],[FPts]])</f>
        <v>#REF!</v>
      </c>
      <c r="H371" s="8" t="e">
        <f>ABS(Table2[[#This Row],[E - FP/G]]-Table2[[#This Row],[FP/G]])</f>
        <v>#REF!</v>
      </c>
    </row>
    <row r="372" spans="1:8" x14ac:dyDescent="0.25">
      <c r="A372" t="s">
        <v>977</v>
      </c>
      <c r="B372" t="s">
        <v>978</v>
      </c>
      <c r="C372" t="e">
        <f>VLOOKUP(A372,'Overall Results'!$B$2:$I$543,9,FALSE)</f>
        <v>#REF!</v>
      </c>
      <c r="D372" t="e">
        <f>VLOOKUP(A372,'Overall Results'!$B$2:$I$543,10,FALSE)</f>
        <v>#REF!</v>
      </c>
      <c r="E372" s="3">
        <v>147.94999999999999</v>
      </c>
      <c r="F372" s="3">
        <v>2.5099999999999998</v>
      </c>
      <c r="G372" s="8" t="e">
        <f>ABS(Table2[[#This Row],[E - FPts]]-Table2[[#This Row],[FPts]])</f>
        <v>#REF!</v>
      </c>
      <c r="H372" s="8" t="e">
        <f>ABS(Table2[[#This Row],[E - FP/G]]-Table2[[#This Row],[FP/G]])</f>
        <v>#REF!</v>
      </c>
    </row>
    <row r="373" spans="1:8" x14ac:dyDescent="0.25">
      <c r="A373" t="s">
        <v>1067</v>
      </c>
      <c r="B373" t="s">
        <v>1068</v>
      </c>
      <c r="C373" t="e">
        <f>VLOOKUP(A373,'Overall Results'!$B$2:$I$543,9,FALSE)</f>
        <v>#N/A</v>
      </c>
      <c r="D373" t="e">
        <f>VLOOKUP(A373,'Overall Results'!$B$2:$I$543,10,FALSE)</f>
        <v>#N/A</v>
      </c>
      <c r="E373" s="3">
        <v>100.75</v>
      </c>
      <c r="F373" s="3">
        <v>1.71</v>
      </c>
      <c r="G373" s="8" t="e">
        <f>ABS(Table2[[#This Row],[E - FPts]]-Table2[[#This Row],[FPts]])</f>
        <v>#N/A</v>
      </c>
      <c r="H373" s="8" t="e">
        <f>ABS(Table2[[#This Row],[E - FP/G]]-Table2[[#This Row],[FP/G]])</f>
        <v>#N/A</v>
      </c>
    </row>
    <row r="374" spans="1:8" x14ac:dyDescent="0.25">
      <c r="A374" t="s">
        <v>717</v>
      </c>
      <c r="B374" t="s">
        <v>718</v>
      </c>
      <c r="C374" t="e">
        <f>VLOOKUP(A374,'Overall Results'!$B$2:$I$543,9,FALSE)</f>
        <v>#REF!</v>
      </c>
      <c r="D374" t="e">
        <f>VLOOKUP(A374,'Overall Results'!$B$2:$I$543,10,FALSE)</f>
        <v>#REF!</v>
      </c>
      <c r="E374" s="3">
        <v>291.25</v>
      </c>
      <c r="F374" s="3">
        <v>4.22</v>
      </c>
      <c r="G374" s="8" t="e">
        <f>ABS(Table2[[#This Row],[E - FPts]]-Table2[[#This Row],[FPts]])</f>
        <v>#REF!</v>
      </c>
      <c r="H374" s="8" t="e">
        <f>ABS(Table2[[#This Row],[E - FP/G]]-Table2[[#This Row],[FP/G]])</f>
        <v>#REF!</v>
      </c>
    </row>
    <row r="375" spans="1:8" x14ac:dyDescent="0.25">
      <c r="A375" t="s">
        <v>821</v>
      </c>
      <c r="B375" t="s">
        <v>822</v>
      </c>
      <c r="C375" t="e">
        <f>VLOOKUP(A375,'Overall Results'!$B$2:$I$543,9,FALSE)</f>
        <v>#N/A</v>
      </c>
      <c r="D375" t="e">
        <f>VLOOKUP(A375,'Overall Results'!$B$2:$I$543,10,FALSE)</f>
        <v>#N/A</v>
      </c>
      <c r="E375" s="3">
        <v>219.1</v>
      </c>
      <c r="F375" s="3">
        <v>3.59</v>
      </c>
      <c r="G375" s="8" t="e">
        <f>ABS(Table2[[#This Row],[E - FPts]]-Table2[[#This Row],[FPts]])</f>
        <v>#N/A</v>
      </c>
      <c r="H375" s="8" t="e">
        <f>ABS(Table2[[#This Row],[E - FP/G]]-Table2[[#This Row],[FP/G]])</f>
        <v>#N/A</v>
      </c>
    </row>
    <row r="376" spans="1:8" x14ac:dyDescent="0.25">
      <c r="A376" t="s">
        <v>295</v>
      </c>
      <c r="B376" t="s">
        <v>296</v>
      </c>
      <c r="C376" t="e">
        <f>VLOOKUP(A376,'Overall Results'!$B$2:$I$543,9,FALSE)</f>
        <v>#REF!</v>
      </c>
      <c r="D376" t="e">
        <f>VLOOKUP(A376,'Overall Results'!$B$2:$I$543,10,FALSE)</f>
        <v>#REF!</v>
      </c>
      <c r="E376" s="3">
        <v>403.5</v>
      </c>
      <c r="F376" s="3">
        <v>5.04</v>
      </c>
      <c r="G376" s="8" t="e">
        <f>ABS(Table2[[#This Row],[E - FPts]]-Table2[[#This Row],[FPts]])</f>
        <v>#REF!</v>
      </c>
      <c r="H376" s="8" t="e">
        <f>ABS(Table2[[#This Row],[E - FP/G]]-Table2[[#This Row],[FP/G]])</f>
        <v>#REF!</v>
      </c>
    </row>
    <row r="377" spans="1:8" x14ac:dyDescent="0.25">
      <c r="A377" t="s">
        <v>483</v>
      </c>
      <c r="B377" t="s">
        <v>484</v>
      </c>
      <c r="C377" t="e">
        <f>VLOOKUP(A377,'Overall Results'!$B$2:$I$543,9,FALSE)</f>
        <v>#REF!</v>
      </c>
      <c r="D377" t="e">
        <f>VLOOKUP(A377,'Overall Results'!$B$2:$I$543,10,FALSE)</f>
        <v>#REF!</v>
      </c>
      <c r="E377" s="3">
        <v>306.14999999999998</v>
      </c>
      <c r="F377" s="3">
        <v>3.73</v>
      </c>
      <c r="G377" s="8" t="e">
        <f>ABS(Table2[[#This Row],[E - FPts]]-Table2[[#This Row],[FPts]])</f>
        <v>#REF!</v>
      </c>
      <c r="H377" s="8" t="e">
        <f>ABS(Table2[[#This Row],[E - FP/G]]-Table2[[#This Row],[FP/G]])</f>
        <v>#REF!</v>
      </c>
    </row>
    <row r="378" spans="1:8" x14ac:dyDescent="0.25">
      <c r="A378" t="s">
        <v>1103</v>
      </c>
      <c r="B378" t="s">
        <v>1104</v>
      </c>
      <c r="C378" t="e">
        <f>VLOOKUP(A378,'Overall Results'!$B$2:$I$543,9,FALSE)</f>
        <v>#N/A</v>
      </c>
      <c r="D378" t="e">
        <f>VLOOKUP(A378,'Overall Results'!$B$2:$I$543,10,FALSE)</f>
        <v>#N/A</v>
      </c>
      <c r="E378" s="3">
        <v>162.6</v>
      </c>
      <c r="F378" s="3">
        <v>2.9</v>
      </c>
      <c r="G378" s="8" t="e">
        <f>ABS(Table2[[#This Row],[E - FPts]]-Table2[[#This Row],[FPts]])</f>
        <v>#N/A</v>
      </c>
      <c r="H378" s="8" t="e">
        <f>ABS(Table2[[#This Row],[E - FP/G]]-Table2[[#This Row],[FP/G]])</f>
        <v>#N/A</v>
      </c>
    </row>
    <row r="379" spans="1:8" x14ac:dyDescent="0.25">
      <c r="A379" t="s">
        <v>1161</v>
      </c>
      <c r="B379" t="s">
        <v>1162</v>
      </c>
      <c r="C379" t="e">
        <f>VLOOKUP(A379,'Overall Results'!$B$2:$I$543,9,FALSE)</f>
        <v>#N/A</v>
      </c>
      <c r="D379" t="e">
        <f>VLOOKUP(A379,'Overall Results'!$B$2:$I$543,10,FALSE)</f>
        <v>#N/A</v>
      </c>
      <c r="E379" s="3">
        <v>63.65</v>
      </c>
      <c r="F379" s="3">
        <v>1.41</v>
      </c>
      <c r="G379" s="8" t="e">
        <f>ABS(Table2[[#This Row],[E - FPts]]-Table2[[#This Row],[FPts]])</f>
        <v>#N/A</v>
      </c>
      <c r="H379" s="8" t="e">
        <f>ABS(Table2[[#This Row],[E - FP/G]]-Table2[[#This Row],[FP/G]])</f>
        <v>#N/A</v>
      </c>
    </row>
    <row r="380" spans="1:8" x14ac:dyDescent="0.25">
      <c r="A380" t="s">
        <v>232</v>
      </c>
      <c r="B380" t="s">
        <v>233</v>
      </c>
      <c r="C380" t="e">
        <f>VLOOKUP(A380,'Overall Results'!$B$2:$I$543,9,FALSE)</f>
        <v>#REF!</v>
      </c>
      <c r="D380" t="e">
        <f>VLOOKUP(A380,'Overall Results'!$B$2:$I$543,10,FALSE)</f>
        <v>#REF!</v>
      </c>
      <c r="E380" s="3">
        <v>382.55</v>
      </c>
      <c r="F380" s="3">
        <v>5.17</v>
      </c>
      <c r="G380" s="8" t="e">
        <f>ABS(Table2[[#This Row],[E - FPts]]-Table2[[#This Row],[FPts]])</f>
        <v>#REF!</v>
      </c>
      <c r="H380" s="8" t="e">
        <f>ABS(Table2[[#This Row],[E - FP/G]]-Table2[[#This Row],[FP/G]])</f>
        <v>#REF!</v>
      </c>
    </row>
    <row r="381" spans="1:8" x14ac:dyDescent="0.25">
      <c r="A381" t="s">
        <v>637</v>
      </c>
      <c r="B381" t="s">
        <v>638</v>
      </c>
      <c r="C381" t="e">
        <f>VLOOKUP(A381,'Overall Results'!$B$2:$I$543,9,FALSE)</f>
        <v>#REF!</v>
      </c>
      <c r="D381" t="e">
        <f>VLOOKUP(A381,'Overall Results'!$B$2:$I$543,10,FALSE)</f>
        <v>#REF!</v>
      </c>
      <c r="E381" s="3">
        <v>291.05</v>
      </c>
      <c r="F381" s="3">
        <v>3.55</v>
      </c>
      <c r="G381" s="8" t="e">
        <f>ABS(Table2[[#This Row],[E - FPts]]-Table2[[#This Row],[FPts]])</f>
        <v>#REF!</v>
      </c>
      <c r="H381" s="8" t="e">
        <f>ABS(Table2[[#This Row],[E - FP/G]]-Table2[[#This Row],[FP/G]])</f>
        <v>#REF!</v>
      </c>
    </row>
    <row r="382" spans="1:8" x14ac:dyDescent="0.25">
      <c r="A382" t="s">
        <v>443</v>
      </c>
      <c r="B382" t="s">
        <v>444</v>
      </c>
      <c r="C382" t="e">
        <f>VLOOKUP(A382,'Overall Results'!$B$2:$I$543,9,FALSE)</f>
        <v>#REF!</v>
      </c>
      <c r="D382" t="e">
        <f>VLOOKUP(A382,'Overall Results'!$B$2:$I$543,10,FALSE)</f>
        <v>#REF!</v>
      </c>
      <c r="E382" s="3">
        <v>348.45</v>
      </c>
      <c r="F382" s="3">
        <v>4.3600000000000003</v>
      </c>
      <c r="G382" s="8" t="e">
        <f>ABS(Table2[[#This Row],[E - FPts]]-Table2[[#This Row],[FPts]])</f>
        <v>#REF!</v>
      </c>
      <c r="H382" s="8" t="e">
        <f>ABS(Table2[[#This Row],[E - FP/G]]-Table2[[#This Row],[FP/G]])</f>
        <v>#REF!</v>
      </c>
    </row>
    <row r="383" spans="1:8" x14ac:dyDescent="0.25">
      <c r="A383" t="s">
        <v>361</v>
      </c>
      <c r="B383" t="s">
        <v>362</v>
      </c>
      <c r="C383" t="e">
        <f>VLOOKUP(A383,'Overall Results'!$B$2:$I$543,9,FALSE)</f>
        <v>#REF!</v>
      </c>
      <c r="D383" t="e">
        <f>VLOOKUP(A383,'Overall Results'!$B$2:$I$543,10,FALSE)</f>
        <v>#REF!</v>
      </c>
      <c r="E383" s="3">
        <v>391.6</v>
      </c>
      <c r="F383" s="3">
        <v>5.29</v>
      </c>
      <c r="G383" s="8" t="e">
        <f>ABS(Table2[[#This Row],[E - FPts]]-Table2[[#This Row],[FPts]])</f>
        <v>#REF!</v>
      </c>
      <c r="H383" s="8" t="e">
        <f>ABS(Table2[[#This Row],[E - FP/G]]-Table2[[#This Row],[FP/G]])</f>
        <v>#REF!</v>
      </c>
    </row>
    <row r="384" spans="1:8" x14ac:dyDescent="0.25">
      <c r="A384" t="s">
        <v>64</v>
      </c>
      <c r="B384" t="s">
        <v>65</v>
      </c>
      <c r="C384" t="e">
        <f>VLOOKUP(A384,'Overall Results'!$B$2:$I$543,9,FALSE)</f>
        <v>#REF!</v>
      </c>
      <c r="D384" t="e">
        <f>VLOOKUP(A384,'Overall Results'!$B$2:$I$543,10,FALSE)</f>
        <v>#REF!</v>
      </c>
      <c r="E384" s="3">
        <v>559.35</v>
      </c>
      <c r="F384" s="3">
        <v>8.35</v>
      </c>
      <c r="G384" s="8" t="e">
        <f>ABS(Table2[[#This Row],[E - FPts]]-Table2[[#This Row],[FPts]])</f>
        <v>#REF!</v>
      </c>
      <c r="H384" s="8" t="e">
        <f>ABS(Table2[[#This Row],[E - FP/G]]-Table2[[#This Row],[FP/G]])</f>
        <v>#REF!</v>
      </c>
    </row>
    <row r="385" spans="1:8" x14ac:dyDescent="0.25">
      <c r="A385" t="s">
        <v>999</v>
      </c>
      <c r="B385" t="s">
        <v>1000</v>
      </c>
      <c r="C385" t="e">
        <f>VLOOKUP(A385,'Overall Results'!$B$2:$I$543,9,FALSE)</f>
        <v>#N/A</v>
      </c>
      <c r="D385" t="e">
        <f>VLOOKUP(A385,'Overall Results'!$B$2:$I$543,10,FALSE)</f>
        <v>#N/A</v>
      </c>
      <c r="E385" s="3">
        <v>183.5</v>
      </c>
      <c r="F385" s="3">
        <v>2.91</v>
      </c>
      <c r="G385" s="8" t="e">
        <f>ABS(Table2[[#This Row],[E - FPts]]-Table2[[#This Row],[FPts]])</f>
        <v>#N/A</v>
      </c>
      <c r="H385" s="8" t="e">
        <f>ABS(Table2[[#This Row],[E - FP/G]]-Table2[[#This Row],[FP/G]])</f>
        <v>#N/A</v>
      </c>
    </row>
    <row r="386" spans="1:8" x14ac:dyDescent="0.25">
      <c r="A386" t="s">
        <v>1037</v>
      </c>
      <c r="B386" t="s">
        <v>1038</v>
      </c>
      <c r="C386" t="e">
        <f>VLOOKUP(A386,'Overall Results'!$B$2:$I$543,9,FALSE)</f>
        <v>#N/A</v>
      </c>
      <c r="D386" t="e">
        <f>VLOOKUP(A386,'Overall Results'!$B$2:$I$543,10,FALSE)</f>
        <v>#N/A</v>
      </c>
      <c r="E386" s="3">
        <v>105.1</v>
      </c>
      <c r="F386" s="3">
        <v>2.2799999999999998</v>
      </c>
      <c r="G386" s="8" t="e">
        <f>ABS(Table2[[#This Row],[E - FPts]]-Table2[[#This Row],[FPts]])</f>
        <v>#N/A</v>
      </c>
      <c r="H386" s="8" t="e">
        <f>ABS(Table2[[#This Row],[E - FP/G]]-Table2[[#This Row],[FP/G]])</f>
        <v>#N/A</v>
      </c>
    </row>
    <row r="387" spans="1:8" x14ac:dyDescent="0.25">
      <c r="A387" t="s">
        <v>1105</v>
      </c>
      <c r="B387" t="s">
        <v>1106</v>
      </c>
      <c r="C387" t="e">
        <f>VLOOKUP(A387,'Overall Results'!$B$2:$I$543,9,FALSE)</f>
        <v>#N/A</v>
      </c>
      <c r="D387" t="e">
        <f>VLOOKUP(A387,'Overall Results'!$B$2:$I$543,10,FALSE)</f>
        <v>#N/A</v>
      </c>
      <c r="E387" s="3">
        <v>88.65</v>
      </c>
      <c r="F387" s="3">
        <v>2.46</v>
      </c>
      <c r="G387" s="8" t="e">
        <f>ABS(Table2[[#This Row],[E - FPts]]-Table2[[#This Row],[FPts]])</f>
        <v>#N/A</v>
      </c>
      <c r="H387" s="8" t="e">
        <f>ABS(Table2[[#This Row],[E - FP/G]]-Table2[[#This Row],[FP/G]])</f>
        <v>#N/A</v>
      </c>
    </row>
    <row r="388" spans="1:8" x14ac:dyDescent="0.25">
      <c r="A388" t="s">
        <v>961</v>
      </c>
      <c r="B388" t="s">
        <v>962</v>
      </c>
      <c r="C388" t="e">
        <f>VLOOKUP(A388,'Overall Results'!$B$2:$I$543,9,FALSE)</f>
        <v>#N/A</v>
      </c>
      <c r="D388" t="e">
        <f>VLOOKUP(A388,'Overall Results'!$B$2:$I$543,10,FALSE)</f>
        <v>#N/A</v>
      </c>
      <c r="E388" s="3">
        <v>218.55</v>
      </c>
      <c r="F388" s="3">
        <v>2.67</v>
      </c>
      <c r="G388" s="8" t="e">
        <f>ABS(Table2[[#This Row],[E - FPts]]-Table2[[#This Row],[FPts]])</f>
        <v>#N/A</v>
      </c>
      <c r="H388" s="8" t="e">
        <f>ABS(Table2[[#This Row],[E - FP/G]]-Table2[[#This Row],[FP/G]])</f>
        <v>#N/A</v>
      </c>
    </row>
    <row r="389" spans="1:8" x14ac:dyDescent="0.25">
      <c r="A389" t="s">
        <v>903</v>
      </c>
      <c r="B389" t="s">
        <v>904</v>
      </c>
      <c r="C389" t="e">
        <f>VLOOKUP(A389,'Overall Results'!$B$2:$I$543,9,FALSE)</f>
        <v>#REF!</v>
      </c>
      <c r="D389" t="e">
        <f>VLOOKUP(A389,'Overall Results'!$B$2:$I$543,10,FALSE)</f>
        <v>#REF!</v>
      </c>
      <c r="E389" s="3">
        <v>124.55</v>
      </c>
      <c r="F389" s="3">
        <v>3.04</v>
      </c>
      <c r="G389" s="8" t="e">
        <f>ABS(Table2[[#This Row],[E - FPts]]-Table2[[#This Row],[FPts]])</f>
        <v>#REF!</v>
      </c>
      <c r="H389" s="8" t="e">
        <f>ABS(Table2[[#This Row],[E - FP/G]]-Table2[[#This Row],[FP/G]])</f>
        <v>#REF!</v>
      </c>
    </row>
    <row r="390" spans="1:8" x14ac:dyDescent="0.25">
      <c r="A390" t="s">
        <v>567</v>
      </c>
      <c r="B390" t="s">
        <v>568</v>
      </c>
      <c r="C390" t="e">
        <f>VLOOKUP(A390,'Overall Results'!$B$2:$I$543,9,FALSE)</f>
        <v>#REF!</v>
      </c>
      <c r="D390" t="e">
        <f>VLOOKUP(A390,'Overall Results'!$B$2:$I$543,10,FALSE)</f>
        <v>#REF!</v>
      </c>
      <c r="E390" s="3">
        <v>310.75</v>
      </c>
      <c r="F390" s="3">
        <v>4.93</v>
      </c>
      <c r="G390" s="8" t="e">
        <f>ABS(Table2[[#This Row],[E - FPts]]-Table2[[#This Row],[FPts]])</f>
        <v>#REF!</v>
      </c>
      <c r="H390" s="8" t="e">
        <f>ABS(Table2[[#This Row],[E - FP/G]]-Table2[[#This Row],[FP/G]])</f>
        <v>#REF!</v>
      </c>
    </row>
    <row r="391" spans="1:8" x14ac:dyDescent="0.25">
      <c r="A391" t="s">
        <v>1033</v>
      </c>
      <c r="B391" t="s">
        <v>1034</v>
      </c>
      <c r="C391" t="e">
        <f>VLOOKUP(A391,'Overall Results'!$B$2:$I$543,9,FALSE)</f>
        <v>#REF!</v>
      </c>
      <c r="D391" t="e">
        <f>VLOOKUP(A391,'Overall Results'!$B$2:$I$543,10,FALSE)</f>
        <v>#REF!</v>
      </c>
      <c r="E391" s="3">
        <v>203.7</v>
      </c>
      <c r="F391" s="3">
        <v>2.65</v>
      </c>
      <c r="G391" s="8" t="e">
        <f>ABS(Table2[[#This Row],[E - FPts]]-Table2[[#This Row],[FPts]])</f>
        <v>#REF!</v>
      </c>
      <c r="H391" s="8" t="e">
        <f>ABS(Table2[[#This Row],[E - FP/G]]-Table2[[#This Row],[FP/G]])</f>
        <v>#REF!</v>
      </c>
    </row>
    <row r="392" spans="1:8" x14ac:dyDescent="0.25">
      <c r="A392" t="s">
        <v>831</v>
      </c>
      <c r="B392" t="s">
        <v>832</v>
      </c>
      <c r="C392" t="e">
        <f>VLOOKUP(A392,'Overall Results'!$B$2:$I$543,9,FALSE)</f>
        <v>#N/A</v>
      </c>
      <c r="D392" t="e">
        <f>VLOOKUP(A392,'Overall Results'!$B$2:$I$543,10,FALSE)</f>
        <v>#N/A</v>
      </c>
      <c r="E392" s="3">
        <v>238.9</v>
      </c>
      <c r="F392" s="3">
        <v>3.32</v>
      </c>
      <c r="G392" s="8" t="e">
        <f>ABS(Table2[[#This Row],[E - FPts]]-Table2[[#This Row],[FPts]])</f>
        <v>#N/A</v>
      </c>
      <c r="H392" s="8" t="e">
        <f>ABS(Table2[[#This Row],[E - FP/G]]-Table2[[#This Row],[FP/G]])</f>
        <v>#N/A</v>
      </c>
    </row>
    <row r="393" spans="1:8" x14ac:dyDescent="0.25">
      <c r="A393" t="s">
        <v>234</v>
      </c>
      <c r="B393" t="s">
        <v>235</v>
      </c>
      <c r="C393" t="e">
        <f>VLOOKUP(A393,'Overall Results'!$B$2:$I$543,9,FALSE)</f>
        <v>#REF!</v>
      </c>
      <c r="D393" t="e">
        <f>VLOOKUP(A393,'Overall Results'!$B$2:$I$543,10,FALSE)</f>
        <v>#REF!</v>
      </c>
      <c r="E393" s="3">
        <v>542</v>
      </c>
      <c r="F393" s="3">
        <v>6.61</v>
      </c>
      <c r="G393" s="8" t="e">
        <f>ABS(Table2[[#This Row],[E - FPts]]-Table2[[#This Row],[FPts]])</f>
        <v>#REF!</v>
      </c>
      <c r="H393" s="8" t="e">
        <f>ABS(Table2[[#This Row],[E - FP/G]]-Table2[[#This Row],[FP/G]])</f>
        <v>#REF!</v>
      </c>
    </row>
    <row r="394" spans="1:8" x14ac:dyDescent="0.25">
      <c r="A394" t="s">
        <v>983</v>
      </c>
      <c r="B394" t="s">
        <v>984</v>
      </c>
      <c r="C394" t="e">
        <f>VLOOKUP(A394,'Overall Results'!$B$2:$I$543,9,FALSE)</f>
        <v>#REF!</v>
      </c>
      <c r="D394" t="e">
        <f>VLOOKUP(A394,'Overall Results'!$B$2:$I$543,10,FALSE)</f>
        <v>#REF!</v>
      </c>
      <c r="E394" s="3">
        <v>131.30000000000001</v>
      </c>
      <c r="F394" s="3">
        <v>2.85</v>
      </c>
      <c r="G394" s="8" t="e">
        <f>ABS(Table2[[#This Row],[E - FPts]]-Table2[[#This Row],[FPts]])</f>
        <v>#REF!</v>
      </c>
      <c r="H394" s="8" t="e">
        <f>ABS(Table2[[#This Row],[E - FP/G]]-Table2[[#This Row],[FP/G]])</f>
        <v>#REF!</v>
      </c>
    </row>
    <row r="395" spans="1:8" x14ac:dyDescent="0.25">
      <c r="A395" t="s">
        <v>531</v>
      </c>
      <c r="B395" t="s">
        <v>532</v>
      </c>
      <c r="C395" t="e">
        <f>VLOOKUP(A395,'Overall Results'!$B$2:$I$543,9,FALSE)</f>
        <v>#N/A</v>
      </c>
      <c r="D395" t="e">
        <f>VLOOKUP(A395,'Overall Results'!$B$2:$I$543,10,FALSE)</f>
        <v>#N/A</v>
      </c>
      <c r="E395" s="3">
        <v>346.4</v>
      </c>
      <c r="F395" s="3">
        <v>4.5</v>
      </c>
      <c r="G395" s="8" t="e">
        <f>ABS(Table2[[#This Row],[E - FPts]]-Table2[[#This Row],[FPts]])</f>
        <v>#N/A</v>
      </c>
      <c r="H395" s="8" t="e">
        <f>ABS(Table2[[#This Row],[E - FP/G]]-Table2[[#This Row],[FP/G]])</f>
        <v>#N/A</v>
      </c>
    </row>
    <row r="396" spans="1:8" x14ac:dyDescent="0.25">
      <c r="A396" t="s">
        <v>263</v>
      </c>
      <c r="B396" t="s">
        <v>264</v>
      </c>
      <c r="C396" t="e">
        <f>VLOOKUP(A396,'Overall Results'!$B$2:$I$543,9,FALSE)</f>
        <v>#REF!</v>
      </c>
      <c r="D396" t="e">
        <f>VLOOKUP(A396,'Overall Results'!$B$2:$I$543,10,FALSE)</f>
        <v>#REF!</v>
      </c>
      <c r="E396" s="3">
        <v>558.85</v>
      </c>
      <c r="F396" s="3">
        <v>6.82</v>
      </c>
      <c r="G396" s="8" t="e">
        <f>ABS(Table2[[#This Row],[E - FPts]]-Table2[[#This Row],[FPts]])</f>
        <v>#REF!</v>
      </c>
      <c r="H396" s="8" t="e">
        <f>ABS(Table2[[#This Row],[E - FP/G]]-Table2[[#This Row],[FP/G]])</f>
        <v>#REF!</v>
      </c>
    </row>
    <row r="397" spans="1:8" x14ac:dyDescent="0.25">
      <c r="A397" t="s">
        <v>825</v>
      </c>
      <c r="B397" t="s">
        <v>826</v>
      </c>
      <c r="C397" t="e">
        <f>VLOOKUP(A397,'Overall Results'!$B$2:$I$543,9,FALSE)</f>
        <v>#REF!</v>
      </c>
      <c r="D397" t="e">
        <f>VLOOKUP(A397,'Overall Results'!$B$2:$I$543,10,FALSE)</f>
        <v>#REF!</v>
      </c>
      <c r="E397" s="3">
        <v>209.55</v>
      </c>
      <c r="F397" s="3">
        <v>2.87</v>
      </c>
      <c r="G397" s="8" t="e">
        <f>ABS(Table2[[#This Row],[E - FPts]]-Table2[[#This Row],[FPts]])</f>
        <v>#REF!</v>
      </c>
      <c r="H397" s="8" t="e">
        <f>ABS(Table2[[#This Row],[E - FP/G]]-Table2[[#This Row],[FP/G]])</f>
        <v>#REF!</v>
      </c>
    </row>
    <row r="398" spans="1:8" x14ac:dyDescent="0.25">
      <c r="A398" t="s">
        <v>839</v>
      </c>
      <c r="B398" t="s">
        <v>840</v>
      </c>
      <c r="C398" t="e">
        <f>VLOOKUP(A398,'Overall Results'!$B$2:$I$543,9,FALSE)</f>
        <v>#REF!</v>
      </c>
      <c r="D398" t="e">
        <f>VLOOKUP(A398,'Overall Results'!$B$2:$I$543,10,FALSE)</f>
        <v>#REF!</v>
      </c>
      <c r="E398" s="3">
        <v>236.2</v>
      </c>
      <c r="F398" s="3">
        <v>2.95</v>
      </c>
      <c r="G398" s="8" t="e">
        <f>ABS(Table2[[#This Row],[E - FPts]]-Table2[[#This Row],[FPts]])</f>
        <v>#REF!</v>
      </c>
      <c r="H398" s="8" t="e">
        <f>ABS(Table2[[#This Row],[E - FP/G]]-Table2[[#This Row],[FP/G]])</f>
        <v>#REF!</v>
      </c>
    </row>
    <row r="399" spans="1:8" x14ac:dyDescent="0.25">
      <c r="A399" t="s">
        <v>629</v>
      </c>
      <c r="B399" t="s">
        <v>630</v>
      </c>
      <c r="C399" t="e">
        <f>VLOOKUP(A399,'Overall Results'!$B$2:$I$543,9,FALSE)</f>
        <v>#REF!</v>
      </c>
      <c r="D399" t="e">
        <f>VLOOKUP(A399,'Overall Results'!$B$2:$I$543,10,FALSE)</f>
        <v>#REF!</v>
      </c>
      <c r="E399" s="3">
        <v>241.65</v>
      </c>
      <c r="F399" s="3">
        <v>4.0999999999999996</v>
      </c>
      <c r="G399" s="8" t="e">
        <f>ABS(Table2[[#This Row],[E - FPts]]-Table2[[#This Row],[FPts]])</f>
        <v>#REF!</v>
      </c>
      <c r="H399" s="8" t="e">
        <f>ABS(Table2[[#This Row],[E - FP/G]]-Table2[[#This Row],[FP/G]])</f>
        <v>#REF!</v>
      </c>
    </row>
    <row r="400" spans="1:8" x14ac:dyDescent="0.25">
      <c r="A400" t="s">
        <v>1265</v>
      </c>
      <c r="B400" t="s">
        <v>1266</v>
      </c>
      <c r="C400" t="e">
        <f>VLOOKUP(A400,'Overall Results'!$B$2:$I$543,9,FALSE)</f>
        <v>#REF!</v>
      </c>
      <c r="D400" t="e">
        <f>VLOOKUP(A400,'Overall Results'!$B$2:$I$543,10,FALSE)</f>
        <v>#REF!</v>
      </c>
      <c r="E400" s="3">
        <v>22.95</v>
      </c>
      <c r="F400" s="3">
        <v>1.77</v>
      </c>
      <c r="G400" s="8" t="e">
        <f>ABS(Table2[[#This Row],[E - FPts]]-Table2[[#This Row],[FPts]])</f>
        <v>#REF!</v>
      </c>
      <c r="H400" s="8" t="e">
        <f>ABS(Table2[[#This Row],[E - FP/G]]-Table2[[#This Row],[FP/G]])</f>
        <v>#REF!</v>
      </c>
    </row>
    <row r="401" spans="1:8" x14ac:dyDescent="0.25">
      <c r="A401" t="s">
        <v>855</v>
      </c>
      <c r="B401" t="s">
        <v>856</v>
      </c>
      <c r="C401" t="e">
        <f>VLOOKUP(A401,'Overall Results'!$B$2:$I$543,9,FALSE)</f>
        <v>#REF!</v>
      </c>
      <c r="D401" t="e">
        <f>VLOOKUP(A401,'Overall Results'!$B$2:$I$543,10,FALSE)</f>
        <v>#REF!</v>
      </c>
      <c r="E401" s="3">
        <v>127.65</v>
      </c>
      <c r="F401" s="3">
        <v>3.36</v>
      </c>
      <c r="G401" s="8" t="e">
        <f>ABS(Table2[[#This Row],[E - FPts]]-Table2[[#This Row],[FPts]])</f>
        <v>#REF!</v>
      </c>
      <c r="H401" s="8" t="e">
        <f>ABS(Table2[[#This Row],[E - FP/G]]-Table2[[#This Row],[FP/G]])</f>
        <v>#REF!</v>
      </c>
    </row>
    <row r="402" spans="1:8" x14ac:dyDescent="0.25">
      <c r="A402" t="s">
        <v>1123</v>
      </c>
      <c r="B402" t="s">
        <v>1124</v>
      </c>
      <c r="C402" t="e">
        <f>VLOOKUP(A402,'Overall Results'!$B$2:$I$543,9,FALSE)</f>
        <v>#N/A</v>
      </c>
      <c r="D402" t="e">
        <f>VLOOKUP(A402,'Overall Results'!$B$2:$I$543,10,FALSE)</f>
        <v>#N/A</v>
      </c>
      <c r="E402" s="3">
        <v>63.95</v>
      </c>
      <c r="F402" s="3">
        <v>1.78</v>
      </c>
      <c r="G402" s="8" t="e">
        <f>ABS(Table2[[#This Row],[E - FPts]]-Table2[[#This Row],[FPts]])</f>
        <v>#N/A</v>
      </c>
      <c r="H402" s="8" t="e">
        <f>ABS(Table2[[#This Row],[E - FP/G]]-Table2[[#This Row],[FP/G]])</f>
        <v>#N/A</v>
      </c>
    </row>
    <row r="403" spans="1:8" x14ac:dyDescent="0.25">
      <c r="A403" t="s">
        <v>88</v>
      </c>
      <c r="B403" t="s">
        <v>89</v>
      </c>
      <c r="C403" t="e">
        <f>VLOOKUP(A403,'Overall Results'!$B$2:$I$543,9,FALSE)</f>
        <v>#REF!</v>
      </c>
      <c r="D403" t="e">
        <f>VLOOKUP(A403,'Overall Results'!$B$2:$I$543,10,FALSE)</f>
        <v>#REF!</v>
      </c>
      <c r="E403" s="3">
        <v>580.20000000000005</v>
      </c>
      <c r="F403" s="3">
        <v>7.08</v>
      </c>
      <c r="G403" s="8" t="e">
        <f>ABS(Table2[[#This Row],[E - FPts]]-Table2[[#This Row],[FPts]])</f>
        <v>#REF!</v>
      </c>
      <c r="H403" s="8" t="e">
        <f>ABS(Table2[[#This Row],[E - FP/G]]-Table2[[#This Row],[FP/G]])</f>
        <v>#REF!</v>
      </c>
    </row>
    <row r="404" spans="1:8" x14ac:dyDescent="0.25">
      <c r="A404" t="s">
        <v>921</v>
      </c>
      <c r="B404" t="s">
        <v>922</v>
      </c>
      <c r="C404" t="e">
        <f>VLOOKUP(A404,'Overall Results'!$B$2:$I$543,9,FALSE)</f>
        <v>#REF!</v>
      </c>
      <c r="D404" t="e">
        <f>VLOOKUP(A404,'Overall Results'!$B$2:$I$543,10,FALSE)</f>
        <v>#REF!</v>
      </c>
      <c r="E404" s="3">
        <v>185.1</v>
      </c>
      <c r="F404" s="3">
        <v>2.61</v>
      </c>
      <c r="G404" s="8" t="e">
        <f>ABS(Table2[[#This Row],[E - FPts]]-Table2[[#This Row],[FPts]])</f>
        <v>#REF!</v>
      </c>
      <c r="H404" s="8" t="e">
        <f>ABS(Table2[[#This Row],[E - FP/G]]-Table2[[#This Row],[FP/G]])</f>
        <v>#REF!</v>
      </c>
    </row>
    <row r="405" spans="1:8" x14ac:dyDescent="0.25">
      <c r="A405" t="s">
        <v>499</v>
      </c>
      <c r="B405" t="s">
        <v>500</v>
      </c>
      <c r="C405" t="e">
        <f>VLOOKUP(A405,'Overall Results'!$B$2:$I$543,9,FALSE)</f>
        <v>#REF!</v>
      </c>
      <c r="D405" t="e">
        <f>VLOOKUP(A405,'Overall Results'!$B$2:$I$543,10,FALSE)</f>
        <v>#REF!</v>
      </c>
      <c r="E405" s="3">
        <v>274.10000000000002</v>
      </c>
      <c r="F405" s="3">
        <v>4.1500000000000004</v>
      </c>
      <c r="G405" s="8" t="e">
        <f>ABS(Table2[[#This Row],[E - FPts]]-Table2[[#This Row],[FPts]])</f>
        <v>#REF!</v>
      </c>
      <c r="H405" s="8" t="e">
        <f>ABS(Table2[[#This Row],[E - FP/G]]-Table2[[#This Row],[FP/G]])</f>
        <v>#REF!</v>
      </c>
    </row>
    <row r="406" spans="1:8" x14ac:dyDescent="0.25">
      <c r="A406" t="s">
        <v>97</v>
      </c>
      <c r="B406" t="s">
        <v>98</v>
      </c>
      <c r="C406" t="e">
        <f>VLOOKUP(A406,'Overall Results'!$B$2:$I$543,9,FALSE)</f>
        <v>#REF!</v>
      </c>
      <c r="D406" t="e">
        <f>VLOOKUP(A406,'Overall Results'!$B$2:$I$543,10,FALSE)</f>
        <v>#REF!</v>
      </c>
      <c r="E406" s="3">
        <v>569.95000000000005</v>
      </c>
      <c r="F406" s="3">
        <v>7.4</v>
      </c>
      <c r="G406" s="8" t="e">
        <f>ABS(Table2[[#This Row],[E - FPts]]-Table2[[#This Row],[FPts]])</f>
        <v>#REF!</v>
      </c>
      <c r="H406" s="8" t="e">
        <f>ABS(Table2[[#This Row],[E - FP/G]]-Table2[[#This Row],[FP/G]])</f>
        <v>#REF!</v>
      </c>
    </row>
    <row r="407" spans="1:8" x14ac:dyDescent="0.25">
      <c r="A407" t="s">
        <v>1211</v>
      </c>
      <c r="B407" t="s">
        <v>1212</v>
      </c>
      <c r="C407" t="e">
        <f>VLOOKUP(A407,'Overall Results'!$B$2:$I$543,9,FALSE)</f>
        <v>#N/A</v>
      </c>
      <c r="D407" t="e">
        <f>VLOOKUP(A407,'Overall Results'!$B$2:$I$543,10,FALSE)</f>
        <v>#N/A</v>
      </c>
      <c r="E407" s="3">
        <v>10.4</v>
      </c>
      <c r="F407" s="3">
        <v>2.08</v>
      </c>
      <c r="G407" s="8" t="e">
        <f>ABS(Table2[[#This Row],[E - FPts]]-Table2[[#This Row],[FPts]])</f>
        <v>#N/A</v>
      </c>
      <c r="H407" s="8" t="e">
        <f>ABS(Table2[[#This Row],[E - FP/G]]-Table2[[#This Row],[FP/G]])</f>
        <v>#N/A</v>
      </c>
    </row>
    <row r="408" spans="1:8" x14ac:dyDescent="0.25">
      <c r="A408" t="s">
        <v>703</v>
      </c>
      <c r="B408" t="s">
        <v>704</v>
      </c>
      <c r="C408" t="e">
        <f>VLOOKUP(A408,'Overall Results'!$B$2:$I$543,9,FALSE)</f>
        <v>#REF!</v>
      </c>
      <c r="D408" t="e">
        <f>VLOOKUP(A408,'Overall Results'!$B$2:$I$543,10,FALSE)</f>
        <v>#REF!</v>
      </c>
      <c r="E408" s="3">
        <v>261.8</v>
      </c>
      <c r="F408" s="3">
        <v>3.4</v>
      </c>
      <c r="G408" s="8" t="e">
        <f>ABS(Table2[[#This Row],[E - FPts]]-Table2[[#This Row],[FPts]])</f>
        <v>#REF!</v>
      </c>
      <c r="H408" s="8" t="e">
        <f>ABS(Table2[[#This Row],[E - FP/G]]-Table2[[#This Row],[FP/G]])</f>
        <v>#REF!</v>
      </c>
    </row>
    <row r="409" spans="1:8" x14ac:dyDescent="0.25">
      <c r="A409" t="s">
        <v>1243</v>
      </c>
      <c r="B409" t="s">
        <v>1244</v>
      </c>
      <c r="C409" t="e">
        <f>VLOOKUP(A409,'Overall Results'!$B$2:$I$543,9,FALSE)</f>
        <v>#N/A</v>
      </c>
      <c r="D409" t="e">
        <f>VLOOKUP(A409,'Overall Results'!$B$2:$I$543,10,FALSE)</f>
        <v>#N/A</v>
      </c>
      <c r="E409" s="3">
        <v>11.2</v>
      </c>
      <c r="F409" s="3">
        <v>1.6</v>
      </c>
      <c r="G409" s="8" t="e">
        <f>ABS(Table2[[#This Row],[E - FPts]]-Table2[[#This Row],[FPts]])</f>
        <v>#N/A</v>
      </c>
      <c r="H409" s="8" t="e">
        <f>ABS(Table2[[#This Row],[E - FP/G]]-Table2[[#This Row],[FP/G]])</f>
        <v>#N/A</v>
      </c>
    </row>
    <row r="410" spans="1:8" x14ac:dyDescent="0.25">
      <c r="A410" t="s">
        <v>503</v>
      </c>
      <c r="B410" t="s">
        <v>504</v>
      </c>
      <c r="C410" t="e">
        <f>VLOOKUP(A410,'Overall Results'!$B$2:$I$543,9,FALSE)</f>
        <v>#REF!</v>
      </c>
      <c r="D410" t="e">
        <f>VLOOKUP(A410,'Overall Results'!$B$2:$I$543,10,FALSE)</f>
        <v>#REF!</v>
      </c>
      <c r="E410" s="3">
        <v>305.39999999999998</v>
      </c>
      <c r="F410" s="3">
        <v>3.77</v>
      </c>
      <c r="G410" s="8" t="e">
        <f>ABS(Table2[[#This Row],[E - FPts]]-Table2[[#This Row],[FPts]])</f>
        <v>#REF!</v>
      </c>
      <c r="H410" s="8" t="e">
        <f>ABS(Table2[[#This Row],[E - FP/G]]-Table2[[#This Row],[FP/G]])</f>
        <v>#REF!</v>
      </c>
    </row>
    <row r="411" spans="1:8" x14ac:dyDescent="0.25">
      <c r="A411" t="s">
        <v>939</v>
      </c>
      <c r="B411" t="s">
        <v>940</v>
      </c>
      <c r="C411" t="e">
        <f>VLOOKUP(A411,'Overall Results'!$B$2:$I$543,9,FALSE)</f>
        <v>#REF!</v>
      </c>
      <c r="D411" t="e">
        <f>VLOOKUP(A411,'Overall Results'!$B$2:$I$543,10,FALSE)</f>
        <v>#REF!</v>
      </c>
      <c r="E411" s="3">
        <v>238.35</v>
      </c>
      <c r="F411" s="3">
        <v>3.22</v>
      </c>
      <c r="G411" s="8" t="e">
        <f>ABS(Table2[[#This Row],[E - FPts]]-Table2[[#This Row],[FPts]])</f>
        <v>#REF!</v>
      </c>
      <c r="H411" s="8" t="e">
        <f>ABS(Table2[[#This Row],[E - FP/G]]-Table2[[#This Row],[FP/G]])</f>
        <v>#REF!</v>
      </c>
    </row>
    <row r="412" spans="1:8" x14ac:dyDescent="0.25">
      <c r="A412" t="s">
        <v>1039</v>
      </c>
      <c r="B412" t="s">
        <v>1040</v>
      </c>
      <c r="C412" t="e">
        <f>VLOOKUP(A412,'Overall Results'!$B$2:$I$543,9,FALSE)</f>
        <v>#N/A</v>
      </c>
      <c r="D412" t="e">
        <f>VLOOKUP(A412,'Overall Results'!$B$2:$I$543,10,FALSE)</f>
        <v>#N/A</v>
      </c>
      <c r="E412" s="3">
        <v>122.15</v>
      </c>
      <c r="F412" s="3">
        <v>1.75</v>
      </c>
      <c r="G412" s="8" t="e">
        <f>ABS(Table2[[#This Row],[E - FPts]]-Table2[[#This Row],[FPts]])</f>
        <v>#N/A</v>
      </c>
      <c r="H412" s="8" t="e">
        <f>ABS(Table2[[#This Row],[E - FP/G]]-Table2[[#This Row],[FP/G]])</f>
        <v>#N/A</v>
      </c>
    </row>
    <row r="413" spans="1:8" x14ac:dyDescent="0.25">
      <c r="A413" t="s">
        <v>781</v>
      </c>
      <c r="B413" t="s">
        <v>782</v>
      </c>
      <c r="C413" t="e">
        <f>VLOOKUP(A413,'Overall Results'!$B$2:$I$543,9,FALSE)</f>
        <v>#REF!</v>
      </c>
      <c r="D413" t="e">
        <f>VLOOKUP(A413,'Overall Results'!$B$2:$I$543,10,FALSE)</f>
        <v>#REF!</v>
      </c>
      <c r="E413" s="3">
        <v>253.3</v>
      </c>
      <c r="F413" s="3">
        <v>3.29</v>
      </c>
      <c r="G413" s="8" t="e">
        <f>ABS(Table2[[#This Row],[E - FPts]]-Table2[[#This Row],[FPts]])</f>
        <v>#REF!</v>
      </c>
      <c r="H413" s="8" t="e">
        <f>ABS(Table2[[#This Row],[E - FP/G]]-Table2[[#This Row],[FP/G]])</f>
        <v>#REF!</v>
      </c>
    </row>
    <row r="414" spans="1:8" x14ac:dyDescent="0.25">
      <c r="A414" t="s">
        <v>1029</v>
      </c>
      <c r="B414" t="s">
        <v>1030</v>
      </c>
      <c r="C414" t="e">
        <f>VLOOKUP(A414,'Overall Results'!$B$2:$I$543,9,FALSE)</f>
        <v>#REF!</v>
      </c>
      <c r="D414" t="e">
        <f>VLOOKUP(A414,'Overall Results'!$B$2:$I$543,10,FALSE)</f>
        <v>#REF!</v>
      </c>
      <c r="E414" s="3">
        <v>182.45</v>
      </c>
      <c r="F414" s="3">
        <v>2.4700000000000002</v>
      </c>
      <c r="G414" s="8" t="e">
        <f>ABS(Table2[[#This Row],[E - FPts]]-Table2[[#This Row],[FPts]])</f>
        <v>#REF!</v>
      </c>
      <c r="H414" s="8" t="e">
        <f>ABS(Table2[[#This Row],[E - FP/G]]-Table2[[#This Row],[FP/G]])</f>
        <v>#REF!</v>
      </c>
    </row>
    <row r="415" spans="1:8" x14ac:dyDescent="0.25">
      <c r="A415" t="s">
        <v>1328</v>
      </c>
      <c r="B415" t="s">
        <v>1329</v>
      </c>
      <c r="C415" t="e">
        <f>VLOOKUP(A415,'Overall Results'!$B$2:$I$543,9,FALSE)</f>
        <v>#N/A</v>
      </c>
      <c r="D415" t="e">
        <f>VLOOKUP(A415,'Overall Results'!$B$2:$I$543,10,FALSE)</f>
        <v>#N/A</v>
      </c>
      <c r="E415" s="3">
        <v>119.15</v>
      </c>
      <c r="F415" s="3">
        <v>1.83</v>
      </c>
      <c r="G415" s="8" t="e">
        <f>ABS(Table2[[#This Row],[E - FPts]]-Table2[[#This Row],[FPts]])</f>
        <v>#N/A</v>
      </c>
      <c r="H415" s="8" t="e">
        <f>ABS(Table2[[#This Row],[E - FP/G]]-Table2[[#This Row],[FP/G]])</f>
        <v>#N/A</v>
      </c>
    </row>
    <row r="416" spans="1:8" x14ac:dyDescent="0.25">
      <c r="A416" t="s">
        <v>202</v>
      </c>
      <c r="B416" t="s">
        <v>203</v>
      </c>
      <c r="C416" t="e">
        <f>VLOOKUP(A416,'Overall Results'!$B$2:$I$543,9,FALSE)</f>
        <v>#REF!</v>
      </c>
      <c r="D416" t="e">
        <f>VLOOKUP(A416,'Overall Results'!$B$2:$I$543,10,FALSE)</f>
        <v>#REF!</v>
      </c>
      <c r="E416" s="3">
        <v>259.35000000000002</v>
      </c>
      <c r="F416" s="3">
        <v>5.76</v>
      </c>
      <c r="G416" s="8" t="e">
        <f>ABS(Table2[[#This Row],[E - FPts]]-Table2[[#This Row],[FPts]])</f>
        <v>#REF!</v>
      </c>
      <c r="H416" s="8" t="e">
        <f>ABS(Table2[[#This Row],[E - FP/G]]-Table2[[#This Row],[FP/G]])</f>
        <v>#REF!</v>
      </c>
    </row>
    <row r="417" spans="1:8" x14ac:dyDescent="0.25">
      <c r="A417" t="s">
        <v>1141</v>
      </c>
      <c r="B417" t="s">
        <v>1142</v>
      </c>
      <c r="C417" t="e">
        <f>VLOOKUP(A417,'Overall Results'!$B$2:$I$543,9,FALSE)</f>
        <v>#N/A</v>
      </c>
      <c r="D417" t="e">
        <f>VLOOKUP(A417,'Overall Results'!$B$2:$I$543,10,FALSE)</f>
        <v>#N/A</v>
      </c>
      <c r="E417" s="3">
        <v>39.700000000000003</v>
      </c>
      <c r="F417" s="3">
        <v>1.73</v>
      </c>
      <c r="G417" s="8" t="e">
        <f>ABS(Table2[[#This Row],[E - FPts]]-Table2[[#This Row],[FPts]])</f>
        <v>#N/A</v>
      </c>
      <c r="H417" s="8" t="e">
        <f>ABS(Table2[[#This Row],[E - FP/G]]-Table2[[#This Row],[FP/G]])</f>
        <v>#N/A</v>
      </c>
    </row>
    <row r="418" spans="1:8" x14ac:dyDescent="0.25">
      <c r="A418" t="s">
        <v>621</v>
      </c>
      <c r="B418" t="s">
        <v>622</v>
      </c>
      <c r="C418" t="e">
        <f>VLOOKUP(A418,'Overall Results'!$B$2:$I$543,9,FALSE)</f>
        <v>#REF!</v>
      </c>
      <c r="D418" t="e">
        <f>VLOOKUP(A418,'Overall Results'!$B$2:$I$543,10,FALSE)</f>
        <v>#REF!</v>
      </c>
      <c r="E418" s="3">
        <v>261.60000000000002</v>
      </c>
      <c r="F418" s="3">
        <v>3.19</v>
      </c>
      <c r="G418" s="8" t="e">
        <f>ABS(Table2[[#This Row],[E - FPts]]-Table2[[#This Row],[FPts]])</f>
        <v>#REF!</v>
      </c>
      <c r="H418" s="8" t="e">
        <f>ABS(Table2[[#This Row],[E - FP/G]]-Table2[[#This Row],[FP/G]])</f>
        <v>#REF!</v>
      </c>
    </row>
    <row r="419" spans="1:8" x14ac:dyDescent="0.25">
      <c r="A419" t="s">
        <v>457</v>
      </c>
      <c r="B419" t="s">
        <v>458</v>
      </c>
      <c r="C419" t="e">
        <f>VLOOKUP(A419,'Overall Results'!$B$2:$I$543,9,FALSE)</f>
        <v>#REF!</v>
      </c>
      <c r="D419" t="e">
        <f>VLOOKUP(A419,'Overall Results'!$B$2:$I$543,10,FALSE)</f>
        <v>#REF!</v>
      </c>
      <c r="E419" s="3">
        <v>326.95</v>
      </c>
      <c r="F419" s="3">
        <v>4.3</v>
      </c>
      <c r="G419" s="8" t="e">
        <f>ABS(Table2[[#This Row],[E - FPts]]-Table2[[#This Row],[FPts]])</f>
        <v>#REF!</v>
      </c>
      <c r="H419" s="8" t="e">
        <f>ABS(Table2[[#This Row],[E - FP/G]]-Table2[[#This Row],[FP/G]])</f>
        <v>#REF!</v>
      </c>
    </row>
    <row r="420" spans="1:8" x14ac:dyDescent="0.25">
      <c r="A420" t="s">
        <v>1169</v>
      </c>
      <c r="B420" t="s">
        <v>1170</v>
      </c>
      <c r="C420" t="e">
        <f>VLOOKUP(A420,'Overall Results'!$B$2:$I$543,9,FALSE)</f>
        <v>#N/A</v>
      </c>
      <c r="D420" t="e">
        <f>VLOOKUP(A420,'Overall Results'!$B$2:$I$543,10,FALSE)</f>
        <v>#N/A</v>
      </c>
      <c r="E420" s="3">
        <v>84.45</v>
      </c>
      <c r="F420" s="3">
        <v>1.88</v>
      </c>
      <c r="G420" s="8" t="e">
        <f>ABS(Table2[[#This Row],[E - FPts]]-Table2[[#This Row],[FPts]])</f>
        <v>#N/A</v>
      </c>
      <c r="H420" s="8" t="e">
        <f>ABS(Table2[[#This Row],[E - FP/G]]-Table2[[#This Row],[FP/G]])</f>
        <v>#N/A</v>
      </c>
    </row>
    <row r="421" spans="1:8" x14ac:dyDescent="0.25">
      <c r="A421" t="s">
        <v>875</v>
      </c>
      <c r="B421" t="s">
        <v>876</v>
      </c>
      <c r="C421" t="e">
        <f>VLOOKUP(A421,'Overall Results'!$B$2:$I$543,9,FALSE)</f>
        <v>#REF!</v>
      </c>
      <c r="D421" t="e">
        <f>VLOOKUP(A421,'Overall Results'!$B$2:$I$543,10,FALSE)</f>
        <v>#REF!</v>
      </c>
      <c r="E421" s="3">
        <v>235.85</v>
      </c>
      <c r="F421" s="3">
        <v>2.99</v>
      </c>
      <c r="G421" s="8" t="e">
        <f>ABS(Table2[[#This Row],[E - FPts]]-Table2[[#This Row],[FPts]])</f>
        <v>#REF!</v>
      </c>
      <c r="H421" s="8" t="e">
        <f>ABS(Table2[[#This Row],[E - FP/G]]-Table2[[#This Row],[FP/G]])</f>
        <v>#REF!</v>
      </c>
    </row>
    <row r="422" spans="1:8" x14ac:dyDescent="0.25">
      <c r="A422" t="s">
        <v>981</v>
      </c>
      <c r="B422" t="s">
        <v>982</v>
      </c>
      <c r="C422" t="e">
        <f>VLOOKUP(A422,'Overall Results'!$B$2:$I$543,9,FALSE)</f>
        <v>#REF!</v>
      </c>
      <c r="D422" t="e">
        <f>VLOOKUP(A422,'Overall Results'!$B$2:$I$543,10,FALSE)</f>
        <v>#REF!</v>
      </c>
      <c r="E422" s="3">
        <v>243.45</v>
      </c>
      <c r="F422" s="3">
        <v>3.04</v>
      </c>
      <c r="G422" s="8" t="e">
        <f>ABS(Table2[[#This Row],[E - FPts]]-Table2[[#This Row],[FPts]])</f>
        <v>#REF!</v>
      </c>
      <c r="H422" s="8" t="e">
        <f>ABS(Table2[[#This Row],[E - FP/G]]-Table2[[#This Row],[FP/G]])</f>
        <v>#REF!</v>
      </c>
    </row>
    <row r="423" spans="1:8" x14ac:dyDescent="0.25">
      <c r="A423" t="s">
        <v>82</v>
      </c>
      <c r="B423" t="s">
        <v>83</v>
      </c>
      <c r="C423" t="e">
        <f>VLOOKUP(A423,'Overall Results'!$B$2:$I$543,9,FALSE)</f>
        <v>#REF!</v>
      </c>
      <c r="D423" t="e">
        <f>VLOOKUP(A423,'Overall Results'!$B$2:$I$543,10,FALSE)</f>
        <v>#REF!</v>
      </c>
      <c r="E423" s="3">
        <v>658.65</v>
      </c>
      <c r="F423" s="3">
        <v>8.0299999999999994</v>
      </c>
      <c r="G423" s="8" t="e">
        <f>ABS(Table2[[#This Row],[E - FPts]]-Table2[[#This Row],[FPts]])</f>
        <v>#REF!</v>
      </c>
      <c r="H423" s="8" t="e">
        <f>ABS(Table2[[#This Row],[E - FP/G]]-Table2[[#This Row],[FP/G]])</f>
        <v>#REF!</v>
      </c>
    </row>
    <row r="424" spans="1:8" x14ac:dyDescent="0.25">
      <c r="A424" t="s">
        <v>1185</v>
      </c>
      <c r="B424" t="s">
        <v>1186</v>
      </c>
      <c r="C424" t="e">
        <f>VLOOKUP(A424,'Overall Results'!$B$2:$I$543,9,FALSE)</f>
        <v>#N/A</v>
      </c>
      <c r="D424" t="e">
        <f>VLOOKUP(A424,'Overall Results'!$B$2:$I$543,10,FALSE)</f>
        <v>#N/A</v>
      </c>
      <c r="E424" s="3">
        <v>13.85</v>
      </c>
      <c r="F424" s="3">
        <v>1.54</v>
      </c>
      <c r="G424" s="8" t="e">
        <f>ABS(Table2[[#This Row],[E - FPts]]-Table2[[#This Row],[FPts]])</f>
        <v>#N/A</v>
      </c>
      <c r="H424" s="8" t="e">
        <f>ABS(Table2[[#This Row],[E - FP/G]]-Table2[[#This Row],[FP/G]])</f>
        <v>#N/A</v>
      </c>
    </row>
    <row r="425" spans="1:8" x14ac:dyDescent="0.25">
      <c r="A425" t="s">
        <v>785</v>
      </c>
      <c r="B425" t="s">
        <v>786</v>
      </c>
      <c r="C425" t="e">
        <f>VLOOKUP(A425,'Overall Results'!$B$2:$I$543,9,FALSE)</f>
        <v>#REF!</v>
      </c>
      <c r="D425" t="e">
        <f>VLOOKUP(A425,'Overall Results'!$B$2:$I$543,10,FALSE)</f>
        <v>#REF!</v>
      </c>
      <c r="E425" s="3">
        <v>153.94999999999999</v>
      </c>
      <c r="F425" s="3">
        <v>3.35</v>
      </c>
      <c r="G425" s="8" t="e">
        <f>ABS(Table2[[#This Row],[E - FPts]]-Table2[[#This Row],[FPts]])</f>
        <v>#REF!</v>
      </c>
      <c r="H425" s="8" t="e">
        <f>ABS(Table2[[#This Row],[E - FP/G]]-Table2[[#This Row],[FP/G]])</f>
        <v>#REF!</v>
      </c>
    </row>
    <row r="426" spans="1:8" x14ac:dyDescent="0.25">
      <c r="A426" t="s">
        <v>955</v>
      </c>
      <c r="B426" t="s">
        <v>956</v>
      </c>
      <c r="C426" t="e">
        <f>VLOOKUP(A426,'Overall Results'!$B$2:$I$543,9,FALSE)</f>
        <v>#REF!</v>
      </c>
      <c r="D426" t="e">
        <f>VLOOKUP(A426,'Overall Results'!$B$2:$I$543,10,FALSE)</f>
        <v>#REF!</v>
      </c>
      <c r="E426" s="3">
        <v>186.15</v>
      </c>
      <c r="F426" s="3">
        <v>2.48</v>
      </c>
      <c r="G426" s="8" t="e">
        <f>ABS(Table2[[#This Row],[E - FPts]]-Table2[[#This Row],[FPts]])</f>
        <v>#REF!</v>
      </c>
      <c r="H426" s="8" t="e">
        <f>ABS(Table2[[#This Row],[E - FP/G]]-Table2[[#This Row],[FP/G]])</f>
        <v>#REF!</v>
      </c>
    </row>
    <row r="427" spans="1:8" x14ac:dyDescent="0.25">
      <c r="A427" t="s">
        <v>175</v>
      </c>
      <c r="B427" t="s">
        <v>176</v>
      </c>
      <c r="C427" t="e">
        <f>VLOOKUP(A427,'Overall Results'!$B$2:$I$543,9,FALSE)</f>
        <v>#REF!</v>
      </c>
      <c r="D427" t="e">
        <f>VLOOKUP(A427,'Overall Results'!$B$2:$I$543,10,FALSE)</f>
        <v>#REF!</v>
      </c>
      <c r="E427" s="3">
        <v>427.85</v>
      </c>
      <c r="F427" s="3">
        <v>6.2</v>
      </c>
      <c r="G427" s="8" t="e">
        <f>ABS(Table2[[#This Row],[E - FPts]]-Table2[[#This Row],[FPts]])</f>
        <v>#REF!</v>
      </c>
      <c r="H427" s="8" t="e">
        <f>ABS(Table2[[#This Row],[E - FP/G]]-Table2[[#This Row],[FP/G]])</f>
        <v>#REF!</v>
      </c>
    </row>
    <row r="428" spans="1:8" x14ac:dyDescent="0.25">
      <c r="A428" t="s">
        <v>573</v>
      </c>
      <c r="B428" t="s">
        <v>574</v>
      </c>
      <c r="C428" t="e">
        <f>VLOOKUP(A428,'Overall Results'!$B$2:$I$543,9,FALSE)</f>
        <v>#REF!</v>
      </c>
      <c r="D428" t="e">
        <f>VLOOKUP(A428,'Overall Results'!$B$2:$I$543,10,FALSE)</f>
        <v>#REF!</v>
      </c>
      <c r="E428" s="3">
        <v>334.25</v>
      </c>
      <c r="F428" s="3">
        <v>4.4000000000000004</v>
      </c>
      <c r="G428" s="8" t="e">
        <f>ABS(Table2[[#This Row],[E - FPts]]-Table2[[#This Row],[FPts]])</f>
        <v>#REF!</v>
      </c>
      <c r="H428" s="8" t="e">
        <f>ABS(Table2[[#This Row],[E - FP/G]]-Table2[[#This Row],[FP/G]])</f>
        <v>#REF!</v>
      </c>
    </row>
    <row r="429" spans="1:8" x14ac:dyDescent="0.25">
      <c r="A429" t="s">
        <v>913</v>
      </c>
      <c r="B429" t="s">
        <v>914</v>
      </c>
      <c r="C429" t="e">
        <f>VLOOKUP(A429,'Overall Results'!$B$2:$I$543,9,FALSE)</f>
        <v>#REF!</v>
      </c>
      <c r="D429" t="e">
        <f>VLOOKUP(A429,'Overall Results'!$B$2:$I$543,10,FALSE)</f>
        <v>#REF!</v>
      </c>
      <c r="E429" s="3">
        <v>218.3</v>
      </c>
      <c r="F429" s="3">
        <v>2.95</v>
      </c>
      <c r="G429" s="8" t="e">
        <f>ABS(Table2[[#This Row],[E - FPts]]-Table2[[#This Row],[FPts]])</f>
        <v>#REF!</v>
      </c>
      <c r="H429" s="8" t="e">
        <f>ABS(Table2[[#This Row],[E - FP/G]]-Table2[[#This Row],[FP/G]])</f>
        <v>#REF!</v>
      </c>
    </row>
    <row r="430" spans="1:8" x14ac:dyDescent="0.25">
      <c r="A430" t="s">
        <v>493</v>
      </c>
      <c r="B430" t="s">
        <v>494</v>
      </c>
      <c r="C430" t="e">
        <f>VLOOKUP(A430,'Overall Results'!$B$2:$I$543,9,FALSE)</f>
        <v>#REF!</v>
      </c>
      <c r="D430" t="e">
        <f>VLOOKUP(A430,'Overall Results'!$B$2:$I$543,10,FALSE)</f>
        <v>#REF!</v>
      </c>
      <c r="E430" s="3">
        <v>310.45</v>
      </c>
      <c r="F430" s="3">
        <v>3.79</v>
      </c>
      <c r="G430" s="8" t="e">
        <f>ABS(Table2[[#This Row],[E - FPts]]-Table2[[#This Row],[FPts]])</f>
        <v>#REF!</v>
      </c>
      <c r="H430" s="8" t="e">
        <f>ABS(Table2[[#This Row],[E - FP/G]]-Table2[[#This Row],[FP/G]])</f>
        <v>#REF!</v>
      </c>
    </row>
    <row r="431" spans="1:8" x14ac:dyDescent="0.25">
      <c r="A431" t="s">
        <v>1077</v>
      </c>
      <c r="B431" t="s">
        <v>1078</v>
      </c>
      <c r="C431" t="e">
        <f>VLOOKUP(A431,'Overall Results'!$B$2:$I$543,9,FALSE)</f>
        <v>#REF!</v>
      </c>
      <c r="D431" t="e">
        <f>VLOOKUP(A431,'Overall Results'!$B$2:$I$543,10,FALSE)</f>
        <v>#REF!</v>
      </c>
      <c r="E431" s="3">
        <v>196.45</v>
      </c>
      <c r="F431" s="3">
        <v>2.85</v>
      </c>
      <c r="G431" s="8" t="e">
        <f>ABS(Table2[[#This Row],[E - FPts]]-Table2[[#This Row],[FPts]])</f>
        <v>#REF!</v>
      </c>
      <c r="H431" s="8" t="e">
        <f>ABS(Table2[[#This Row],[E - FP/G]]-Table2[[#This Row],[FP/G]])</f>
        <v>#REF!</v>
      </c>
    </row>
    <row r="432" spans="1:8" x14ac:dyDescent="0.25">
      <c r="A432" t="s">
        <v>1340</v>
      </c>
      <c r="B432" t="s">
        <v>1341</v>
      </c>
      <c r="C432" t="e">
        <f>VLOOKUP(A432,'Overall Results'!$B$2:$I$543,9,FALSE)</f>
        <v>#REF!</v>
      </c>
      <c r="D432" t="e">
        <f>VLOOKUP(A432,'Overall Results'!$B$2:$I$543,10,FALSE)</f>
        <v>#REF!</v>
      </c>
      <c r="E432" s="3">
        <v>120.2</v>
      </c>
      <c r="F432" s="3">
        <v>2.23</v>
      </c>
      <c r="G432" s="8" t="e">
        <f>ABS(Table2[[#This Row],[E - FPts]]-Table2[[#This Row],[FPts]])</f>
        <v>#REF!</v>
      </c>
      <c r="H432" s="8" t="e">
        <f>ABS(Table2[[#This Row],[E - FP/G]]-Table2[[#This Row],[FP/G]])</f>
        <v>#REF!</v>
      </c>
    </row>
    <row r="433" spans="1:8" x14ac:dyDescent="0.25">
      <c r="A433" t="s">
        <v>565</v>
      </c>
      <c r="B433" t="s">
        <v>566</v>
      </c>
      <c r="C433" t="e">
        <f>VLOOKUP(A433,'Overall Results'!$B$2:$I$543,9,FALSE)</f>
        <v>#REF!</v>
      </c>
      <c r="D433" t="e">
        <f>VLOOKUP(A433,'Overall Results'!$B$2:$I$543,10,FALSE)</f>
        <v>#REF!</v>
      </c>
      <c r="E433" s="3">
        <v>291.7</v>
      </c>
      <c r="F433" s="3">
        <v>3.89</v>
      </c>
      <c r="G433" s="8" t="e">
        <f>ABS(Table2[[#This Row],[E - FPts]]-Table2[[#This Row],[FPts]])</f>
        <v>#REF!</v>
      </c>
      <c r="H433" s="8" t="e">
        <f>ABS(Table2[[#This Row],[E - FP/G]]-Table2[[#This Row],[FP/G]])</f>
        <v>#REF!</v>
      </c>
    </row>
    <row r="434" spans="1:8" x14ac:dyDescent="0.25">
      <c r="A434" t="s">
        <v>1127</v>
      </c>
      <c r="B434" t="s">
        <v>1128</v>
      </c>
      <c r="C434" t="e">
        <f>VLOOKUP(A434,'Overall Results'!$B$2:$I$543,9,FALSE)</f>
        <v>#REF!</v>
      </c>
      <c r="D434" t="e">
        <f>VLOOKUP(A434,'Overall Results'!$B$2:$I$543,10,FALSE)</f>
        <v>#REF!</v>
      </c>
      <c r="E434" s="3">
        <v>128.44999999999999</v>
      </c>
      <c r="F434" s="3">
        <v>2.73</v>
      </c>
      <c r="G434" s="8" t="e">
        <f>ABS(Table2[[#This Row],[E - FPts]]-Table2[[#This Row],[FPts]])</f>
        <v>#REF!</v>
      </c>
      <c r="H434" s="8" t="e">
        <f>ABS(Table2[[#This Row],[E - FP/G]]-Table2[[#This Row],[FP/G]])</f>
        <v>#REF!</v>
      </c>
    </row>
    <row r="435" spans="1:8" x14ac:dyDescent="0.25">
      <c r="A435" t="s">
        <v>146</v>
      </c>
      <c r="B435" t="s">
        <v>147</v>
      </c>
      <c r="C435" t="e">
        <f>VLOOKUP(A435,'Overall Results'!$B$2:$I$543,9,FALSE)</f>
        <v>#REF!</v>
      </c>
      <c r="D435" t="e">
        <f>VLOOKUP(A435,'Overall Results'!$B$2:$I$543,10,FALSE)</f>
        <v>#REF!</v>
      </c>
      <c r="E435" s="3">
        <v>547.6</v>
      </c>
      <c r="F435" s="3">
        <v>7.5</v>
      </c>
      <c r="G435" s="8" t="e">
        <f>ABS(Table2[[#This Row],[E - FPts]]-Table2[[#This Row],[FPts]])</f>
        <v>#REF!</v>
      </c>
      <c r="H435" s="8" t="e">
        <f>ABS(Table2[[#This Row],[E - FP/G]]-Table2[[#This Row],[FP/G]])</f>
        <v>#REF!</v>
      </c>
    </row>
    <row r="436" spans="1:8" x14ac:dyDescent="0.25">
      <c r="A436" t="s">
        <v>917</v>
      </c>
      <c r="B436" t="s">
        <v>918</v>
      </c>
      <c r="C436" t="e">
        <f>VLOOKUP(A436,'Overall Results'!$B$2:$I$543,9,FALSE)</f>
        <v>#REF!</v>
      </c>
      <c r="D436" t="e">
        <f>VLOOKUP(A436,'Overall Results'!$B$2:$I$543,10,FALSE)</f>
        <v>#REF!</v>
      </c>
      <c r="E436" s="3">
        <v>249.95</v>
      </c>
      <c r="F436" s="3">
        <v>3.09</v>
      </c>
      <c r="G436" s="8" t="e">
        <f>ABS(Table2[[#This Row],[E - FPts]]-Table2[[#This Row],[FPts]])</f>
        <v>#REF!</v>
      </c>
      <c r="H436" s="8" t="e">
        <f>ABS(Table2[[#This Row],[E - FP/G]]-Table2[[#This Row],[FP/G]])</f>
        <v>#REF!</v>
      </c>
    </row>
    <row r="437" spans="1:8" x14ac:dyDescent="0.25">
      <c r="A437" t="s">
        <v>1053</v>
      </c>
      <c r="B437" t="s">
        <v>1054</v>
      </c>
      <c r="C437" t="e">
        <f>VLOOKUP(A437,'Overall Results'!$B$2:$I$543,9,FALSE)</f>
        <v>#REF!</v>
      </c>
      <c r="D437" t="e">
        <f>VLOOKUP(A437,'Overall Results'!$B$2:$I$543,10,FALSE)</f>
        <v>#REF!</v>
      </c>
      <c r="E437" s="3">
        <v>220.2</v>
      </c>
      <c r="F437" s="3">
        <v>2.75</v>
      </c>
      <c r="G437" s="8" t="e">
        <f>ABS(Table2[[#This Row],[E - FPts]]-Table2[[#This Row],[FPts]])</f>
        <v>#REF!</v>
      </c>
      <c r="H437" s="8" t="e">
        <f>ABS(Table2[[#This Row],[E - FP/G]]-Table2[[#This Row],[FP/G]])</f>
        <v>#REF!</v>
      </c>
    </row>
    <row r="438" spans="1:8" x14ac:dyDescent="0.25">
      <c r="A438" t="s">
        <v>1089</v>
      </c>
      <c r="B438" t="s">
        <v>1090</v>
      </c>
      <c r="C438" t="e">
        <f>VLOOKUP(A438,'Overall Results'!$B$2:$I$543,9,FALSE)</f>
        <v>#N/A</v>
      </c>
      <c r="D438" t="e">
        <f>VLOOKUP(A438,'Overall Results'!$B$2:$I$543,10,FALSE)</f>
        <v>#N/A</v>
      </c>
      <c r="E438" s="3">
        <v>156.44999999999999</v>
      </c>
      <c r="F438" s="3">
        <v>3.01</v>
      </c>
      <c r="G438" s="8" t="e">
        <f>ABS(Table2[[#This Row],[E - FPts]]-Table2[[#This Row],[FPts]])</f>
        <v>#N/A</v>
      </c>
      <c r="H438" s="8" t="e">
        <f>ABS(Table2[[#This Row],[E - FP/G]]-Table2[[#This Row],[FP/G]])</f>
        <v>#N/A</v>
      </c>
    </row>
    <row r="439" spans="1:8" x14ac:dyDescent="0.25">
      <c r="A439" t="s">
        <v>68</v>
      </c>
      <c r="B439" t="s">
        <v>69</v>
      </c>
      <c r="C439" t="e">
        <f>VLOOKUP(A439,'Overall Results'!$B$2:$I$543,9,FALSE)</f>
        <v>#REF!</v>
      </c>
      <c r="D439" t="e">
        <f>VLOOKUP(A439,'Overall Results'!$B$2:$I$543,10,FALSE)</f>
        <v>#REF!</v>
      </c>
      <c r="E439" s="3">
        <v>580.45000000000005</v>
      </c>
      <c r="F439" s="3">
        <v>7.08</v>
      </c>
      <c r="G439" s="8" t="e">
        <f>ABS(Table2[[#This Row],[E - FPts]]-Table2[[#This Row],[FPts]])</f>
        <v>#REF!</v>
      </c>
      <c r="H439" s="8" t="e">
        <f>ABS(Table2[[#This Row],[E - FP/G]]-Table2[[#This Row],[FP/G]])</f>
        <v>#REF!</v>
      </c>
    </row>
    <row r="440" spans="1:8" x14ac:dyDescent="0.25">
      <c r="A440" t="s">
        <v>1289</v>
      </c>
      <c r="B440" t="s">
        <v>1290</v>
      </c>
      <c r="C440" t="e">
        <f>VLOOKUP(A440,'Overall Results'!$B$2:$I$543,9,FALSE)</f>
        <v>#N/A</v>
      </c>
      <c r="D440" t="e">
        <f>VLOOKUP(A440,'Overall Results'!$B$2:$I$543,10,FALSE)</f>
        <v>#N/A</v>
      </c>
      <c r="E440" s="3">
        <v>12.45</v>
      </c>
      <c r="F440" s="3">
        <v>2.4900000000000002</v>
      </c>
      <c r="G440" s="8" t="e">
        <f>ABS(Table2[[#This Row],[E - FPts]]-Table2[[#This Row],[FPts]])</f>
        <v>#N/A</v>
      </c>
      <c r="H440" s="8" t="e">
        <f>ABS(Table2[[#This Row],[E - FP/G]]-Table2[[#This Row],[FP/G]])</f>
        <v>#N/A</v>
      </c>
    </row>
    <row r="441" spans="1:8" x14ac:dyDescent="0.25">
      <c r="A441" t="s">
        <v>1015</v>
      </c>
      <c r="B441" t="s">
        <v>1016</v>
      </c>
      <c r="C441" t="e">
        <f>VLOOKUP(A441,'Overall Results'!$B$2:$I$543,9,FALSE)</f>
        <v>#N/A</v>
      </c>
      <c r="D441" t="e">
        <f>VLOOKUP(A441,'Overall Results'!$B$2:$I$543,10,FALSE)</f>
        <v>#N/A</v>
      </c>
      <c r="E441" s="3">
        <v>146.55000000000001</v>
      </c>
      <c r="F441" s="3">
        <v>2.87</v>
      </c>
      <c r="G441" s="8" t="e">
        <f>ABS(Table2[[#This Row],[E - FPts]]-Table2[[#This Row],[FPts]])</f>
        <v>#N/A</v>
      </c>
      <c r="H441" s="8" t="e">
        <f>ABS(Table2[[#This Row],[E - FP/G]]-Table2[[#This Row],[FP/G]])</f>
        <v>#N/A</v>
      </c>
    </row>
    <row r="442" spans="1:8" x14ac:dyDescent="0.25">
      <c r="A442" t="s">
        <v>1041</v>
      </c>
      <c r="B442" t="s">
        <v>1042</v>
      </c>
      <c r="C442" t="e">
        <f>VLOOKUP(A442,'Overall Results'!$B$2:$I$543,9,FALSE)</f>
        <v>#REF!</v>
      </c>
      <c r="D442" t="e">
        <f>VLOOKUP(A442,'Overall Results'!$B$2:$I$543,10,FALSE)</f>
        <v>#REF!</v>
      </c>
      <c r="E442" s="3">
        <v>212.5</v>
      </c>
      <c r="F442" s="3">
        <v>2.95</v>
      </c>
      <c r="G442" s="8" t="e">
        <f>ABS(Table2[[#This Row],[E - FPts]]-Table2[[#This Row],[FPts]])</f>
        <v>#REF!</v>
      </c>
      <c r="H442" s="8" t="e">
        <f>ABS(Table2[[#This Row],[E - FP/G]]-Table2[[#This Row],[FP/G]])</f>
        <v>#REF!</v>
      </c>
    </row>
    <row r="443" spans="1:8" x14ac:dyDescent="0.25">
      <c r="A443" t="s">
        <v>919</v>
      </c>
      <c r="B443" t="s">
        <v>920</v>
      </c>
      <c r="C443" t="e">
        <f>VLOOKUP(A443,'Overall Results'!$B$2:$I$543,9,FALSE)</f>
        <v>#REF!</v>
      </c>
      <c r="D443" t="e">
        <f>VLOOKUP(A443,'Overall Results'!$B$2:$I$543,10,FALSE)</f>
        <v>#REF!</v>
      </c>
      <c r="E443" s="3">
        <v>188.65</v>
      </c>
      <c r="F443" s="3">
        <v>2.5499999999999998</v>
      </c>
      <c r="G443" s="8" t="e">
        <f>ABS(Table2[[#This Row],[E - FPts]]-Table2[[#This Row],[FPts]])</f>
        <v>#REF!</v>
      </c>
      <c r="H443" s="8" t="e">
        <f>ABS(Table2[[#This Row],[E - FP/G]]-Table2[[#This Row],[FP/G]])</f>
        <v>#REF!</v>
      </c>
    </row>
    <row r="444" spans="1:8" x14ac:dyDescent="0.25">
      <c r="A444" t="s">
        <v>445</v>
      </c>
      <c r="B444" t="s">
        <v>446</v>
      </c>
      <c r="C444" t="e">
        <f>VLOOKUP(A444,'Overall Results'!$B$2:$I$543,9,FALSE)</f>
        <v>#REF!</v>
      </c>
      <c r="D444" t="e">
        <f>VLOOKUP(A444,'Overall Results'!$B$2:$I$543,10,FALSE)</f>
        <v>#REF!</v>
      </c>
      <c r="E444" s="3">
        <v>248.75</v>
      </c>
      <c r="F444" s="3">
        <v>4.5199999999999996</v>
      </c>
      <c r="G444" s="8" t="e">
        <f>ABS(Table2[[#This Row],[E - FPts]]-Table2[[#This Row],[FPts]])</f>
        <v>#REF!</v>
      </c>
      <c r="H444" s="8" t="e">
        <f>ABS(Table2[[#This Row],[E - FP/G]]-Table2[[#This Row],[FP/G]])</f>
        <v>#REF!</v>
      </c>
    </row>
    <row r="445" spans="1:8" x14ac:dyDescent="0.25">
      <c r="A445" t="s">
        <v>247</v>
      </c>
      <c r="B445" t="s">
        <v>248</v>
      </c>
      <c r="C445" t="e">
        <f>VLOOKUP(A445,'Overall Results'!$B$2:$I$543,9,FALSE)</f>
        <v>#REF!</v>
      </c>
      <c r="D445" t="e">
        <f>VLOOKUP(A445,'Overall Results'!$B$2:$I$543,10,FALSE)</f>
        <v>#REF!</v>
      </c>
      <c r="E445" s="3">
        <v>353.15</v>
      </c>
      <c r="F445" s="3">
        <v>6.31</v>
      </c>
      <c r="G445" s="8" t="e">
        <f>ABS(Table2[[#This Row],[E - FPts]]-Table2[[#This Row],[FPts]])</f>
        <v>#REF!</v>
      </c>
      <c r="H445" s="8" t="e">
        <f>ABS(Table2[[#This Row],[E - FP/G]]-Table2[[#This Row],[FP/G]])</f>
        <v>#REF!</v>
      </c>
    </row>
    <row r="446" spans="1:8" x14ac:dyDescent="0.25">
      <c r="A446" t="s">
        <v>1011</v>
      </c>
      <c r="B446" t="s">
        <v>1012</v>
      </c>
      <c r="C446" t="e">
        <f>VLOOKUP(A446,'Overall Results'!$B$2:$I$543,9,FALSE)</f>
        <v>#REF!</v>
      </c>
      <c r="D446" t="e">
        <f>VLOOKUP(A446,'Overall Results'!$B$2:$I$543,10,FALSE)</f>
        <v>#REF!</v>
      </c>
      <c r="E446" s="3">
        <v>252.15</v>
      </c>
      <c r="F446" s="3">
        <v>3.19</v>
      </c>
      <c r="G446" s="8" t="e">
        <f>ABS(Table2[[#This Row],[E - FPts]]-Table2[[#This Row],[FPts]])</f>
        <v>#REF!</v>
      </c>
      <c r="H446" s="8" t="e">
        <f>ABS(Table2[[#This Row],[E - FP/G]]-Table2[[#This Row],[FP/G]])</f>
        <v>#REF!</v>
      </c>
    </row>
    <row r="447" spans="1:8" x14ac:dyDescent="0.25">
      <c r="A447" t="s">
        <v>971</v>
      </c>
      <c r="B447" t="s">
        <v>972</v>
      </c>
      <c r="C447" t="e">
        <f>VLOOKUP(A447,'Overall Results'!$B$2:$I$543,9,FALSE)</f>
        <v>#N/A</v>
      </c>
      <c r="D447" t="e">
        <f>VLOOKUP(A447,'Overall Results'!$B$2:$I$543,10,FALSE)</f>
        <v>#N/A</v>
      </c>
      <c r="E447" s="3">
        <v>224.8</v>
      </c>
      <c r="F447" s="3">
        <v>3.36</v>
      </c>
      <c r="G447" s="8" t="e">
        <f>ABS(Table2[[#This Row],[E - FPts]]-Table2[[#This Row],[FPts]])</f>
        <v>#N/A</v>
      </c>
      <c r="H447" s="8" t="e">
        <f>ABS(Table2[[#This Row],[E - FP/G]]-Table2[[#This Row],[FP/G]])</f>
        <v>#N/A</v>
      </c>
    </row>
    <row r="448" spans="1:8" x14ac:dyDescent="0.25">
      <c r="A448" t="s">
        <v>689</v>
      </c>
      <c r="B448" t="s">
        <v>690</v>
      </c>
      <c r="C448" t="e">
        <f>VLOOKUP(A448,'Overall Results'!$B$2:$I$543,9,FALSE)</f>
        <v>#REF!</v>
      </c>
      <c r="D448" t="e">
        <f>VLOOKUP(A448,'Overall Results'!$B$2:$I$543,10,FALSE)</f>
        <v>#REF!</v>
      </c>
      <c r="E448" s="3">
        <v>275.39999999999998</v>
      </c>
      <c r="F448" s="3">
        <v>3.36</v>
      </c>
      <c r="G448" s="8" t="e">
        <f>ABS(Table2[[#This Row],[E - FPts]]-Table2[[#This Row],[FPts]])</f>
        <v>#REF!</v>
      </c>
      <c r="H448" s="8" t="e">
        <f>ABS(Table2[[#This Row],[E - FP/G]]-Table2[[#This Row],[FP/G]])</f>
        <v>#REF!</v>
      </c>
    </row>
    <row r="449" spans="1:8" x14ac:dyDescent="0.25">
      <c r="A449" t="s">
        <v>297</v>
      </c>
      <c r="B449" t="s">
        <v>298</v>
      </c>
      <c r="C449" t="e">
        <f>VLOOKUP(A449,'Overall Results'!$B$2:$I$543,9,FALSE)</f>
        <v>#REF!</v>
      </c>
      <c r="D449" t="e">
        <f>VLOOKUP(A449,'Overall Results'!$B$2:$I$543,10,FALSE)</f>
        <v>#REF!</v>
      </c>
      <c r="E449" s="3">
        <v>473.55</v>
      </c>
      <c r="F449" s="3">
        <v>5.77</v>
      </c>
      <c r="G449" s="8" t="e">
        <f>ABS(Table2[[#This Row],[E - FPts]]-Table2[[#This Row],[FPts]])</f>
        <v>#REF!</v>
      </c>
      <c r="H449" s="8" t="e">
        <f>ABS(Table2[[#This Row],[E - FP/G]]-Table2[[#This Row],[FP/G]])</f>
        <v>#REF!</v>
      </c>
    </row>
    <row r="450" spans="1:8" x14ac:dyDescent="0.25">
      <c r="A450" t="s">
        <v>369</v>
      </c>
      <c r="B450" t="s">
        <v>370</v>
      </c>
      <c r="C450" t="e">
        <f>VLOOKUP(A450,'Overall Results'!$B$2:$I$543,9,FALSE)</f>
        <v>#REF!</v>
      </c>
      <c r="D450" t="e">
        <f>VLOOKUP(A450,'Overall Results'!$B$2:$I$543,10,FALSE)</f>
        <v>#REF!</v>
      </c>
      <c r="E450" s="3">
        <v>492.9</v>
      </c>
      <c r="F450" s="3">
        <v>6.85</v>
      </c>
      <c r="G450" s="8" t="e">
        <f>ABS(Table2[[#This Row],[E - FPts]]-Table2[[#This Row],[FPts]])</f>
        <v>#REF!</v>
      </c>
      <c r="H450" s="8" t="e">
        <f>ABS(Table2[[#This Row],[E - FP/G]]-Table2[[#This Row],[FP/G]])</f>
        <v>#REF!</v>
      </c>
    </row>
    <row r="451" spans="1:8" x14ac:dyDescent="0.25">
      <c r="A451" t="s">
        <v>158</v>
      </c>
      <c r="B451" t="s">
        <v>159</v>
      </c>
      <c r="C451" t="e">
        <f>VLOOKUP(A451,'Overall Results'!$B$2:$I$543,9,FALSE)</f>
        <v>#REF!</v>
      </c>
      <c r="D451" t="e">
        <f>VLOOKUP(A451,'Overall Results'!$B$2:$I$543,10,FALSE)</f>
        <v>#REF!</v>
      </c>
      <c r="E451" s="3">
        <v>587.95000000000005</v>
      </c>
      <c r="F451" s="3">
        <v>7.17</v>
      </c>
      <c r="G451" s="8" t="e">
        <f>ABS(Table2[[#This Row],[E - FPts]]-Table2[[#This Row],[FPts]])</f>
        <v>#REF!</v>
      </c>
      <c r="H451" s="8" t="e">
        <f>ABS(Table2[[#This Row],[E - FP/G]]-Table2[[#This Row],[FP/G]])</f>
        <v>#REF!</v>
      </c>
    </row>
    <row r="452" spans="1:8" x14ac:dyDescent="0.25">
      <c r="A452" t="s">
        <v>587</v>
      </c>
      <c r="B452" t="s">
        <v>588</v>
      </c>
      <c r="C452" t="e">
        <f>VLOOKUP(A452,'Overall Results'!$B$2:$I$543,9,FALSE)</f>
        <v>#N/A</v>
      </c>
      <c r="D452" t="e">
        <f>VLOOKUP(A452,'Overall Results'!$B$2:$I$543,10,FALSE)</f>
        <v>#N/A</v>
      </c>
      <c r="E452" s="3">
        <v>264.14999999999998</v>
      </c>
      <c r="F452" s="3">
        <v>3.88</v>
      </c>
      <c r="G452" s="8" t="e">
        <f>ABS(Table2[[#This Row],[E - FPts]]-Table2[[#This Row],[FPts]])</f>
        <v>#N/A</v>
      </c>
      <c r="H452" s="8" t="e">
        <f>ABS(Table2[[#This Row],[E - FP/G]]-Table2[[#This Row],[FP/G]])</f>
        <v>#N/A</v>
      </c>
    </row>
    <row r="453" spans="1:8" x14ac:dyDescent="0.25">
      <c r="A453" t="s">
        <v>783</v>
      </c>
      <c r="B453" t="s">
        <v>784</v>
      </c>
      <c r="C453" t="e">
        <f>VLOOKUP(A453,'Overall Results'!$B$2:$I$543,9,FALSE)</f>
        <v>#REF!</v>
      </c>
      <c r="D453" t="e">
        <f>VLOOKUP(A453,'Overall Results'!$B$2:$I$543,10,FALSE)</f>
        <v>#REF!</v>
      </c>
      <c r="E453" s="3">
        <v>240.3</v>
      </c>
      <c r="F453" s="3">
        <v>3.59</v>
      </c>
      <c r="G453" s="8" t="e">
        <f>ABS(Table2[[#This Row],[E - FPts]]-Table2[[#This Row],[FPts]])</f>
        <v>#REF!</v>
      </c>
      <c r="H453" s="8" t="e">
        <f>ABS(Table2[[#This Row],[E - FP/G]]-Table2[[#This Row],[FP/G]])</f>
        <v>#REF!</v>
      </c>
    </row>
    <row r="454" spans="1:8" x14ac:dyDescent="0.25">
      <c r="A454" t="s">
        <v>321</v>
      </c>
      <c r="B454" t="s">
        <v>322</v>
      </c>
      <c r="C454" t="e">
        <f>VLOOKUP(A454,'Overall Results'!$B$2:$I$543,9,FALSE)</f>
        <v>#REF!</v>
      </c>
      <c r="D454" t="e">
        <f>VLOOKUP(A454,'Overall Results'!$B$2:$I$543,10,FALSE)</f>
        <v>#REF!</v>
      </c>
      <c r="E454" s="3">
        <v>459.9</v>
      </c>
      <c r="F454" s="3">
        <v>5.61</v>
      </c>
      <c r="G454" s="8" t="e">
        <f>ABS(Table2[[#This Row],[E - FPts]]-Table2[[#This Row],[FPts]])</f>
        <v>#REF!</v>
      </c>
      <c r="H454" s="8" t="e">
        <f>ABS(Table2[[#This Row],[E - FP/G]]-Table2[[#This Row],[FP/G]])</f>
        <v>#REF!</v>
      </c>
    </row>
    <row r="455" spans="1:8" x14ac:dyDescent="0.25">
      <c r="A455" t="s">
        <v>1518</v>
      </c>
      <c r="B455" t="s">
        <v>1519</v>
      </c>
      <c r="C455" t="e">
        <f>VLOOKUP(A455,'Overall Results'!$B$2:$I$543,9,FALSE)</f>
        <v>#N/A</v>
      </c>
      <c r="D455" t="e">
        <f>VLOOKUP(A455,'Overall Results'!$B$2:$I$543,10,FALSE)</f>
        <v>#N/A</v>
      </c>
      <c r="E455" s="3">
        <v>101.95</v>
      </c>
      <c r="F455" s="3">
        <v>2.68</v>
      </c>
      <c r="G455" s="8" t="e">
        <f>ABS(Table2[[#This Row],[E - FPts]]-Table2[[#This Row],[FPts]])</f>
        <v>#N/A</v>
      </c>
      <c r="H455" s="8" t="e">
        <f>ABS(Table2[[#This Row],[E - FP/G]]-Table2[[#This Row],[FP/G]])</f>
        <v>#N/A</v>
      </c>
    </row>
    <row r="456" spans="1:8" x14ac:dyDescent="0.25">
      <c r="A456" t="s">
        <v>1101</v>
      </c>
      <c r="B456" t="s">
        <v>1102</v>
      </c>
      <c r="C456" t="e">
        <f>VLOOKUP(A456,'Overall Results'!$B$2:$I$543,9,FALSE)</f>
        <v>#N/A</v>
      </c>
      <c r="D456" t="e">
        <f>VLOOKUP(A456,'Overall Results'!$B$2:$I$543,10,FALSE)</f>
        <v>#N/A</v>
      </c>
      <c r="E456" s="3">
        <v>51.15</v>
      </c>
      <c r="F456" s="3">
        <v>3.2</v>
      </c>
      <c r="G456" s="8" t="e">
        <f>ABS(Table2[[#This Row],[E - FPts]]-Table2[[#This Row],[FPts]])</f>
        <v>#N/A</v>
      </c>
      <c r="H456" s="8" t="e">
        <f>ABS(Table2[[#This Row],[E - FP/G]]-Table2[[#This Row],[FP/G]])</f>
        <v>#N/A</v>
      </c>
    </row>
    <row r="457" spans="1:8" x14ac:dyDescent="0.25">
      <c r="A457" t="s">
        <v>144</v>
      </c>
      <c r="B457" t="s">
        <v>145</v>
      </c>
      <c r="C457" t="e">
        <f>VLOOKUP(A457,'Overall Results'!$B$2:$I$543,9,FALSE)</f>
        <v>#REF!</v>
      </c>
      <c r="D457" t="e">
        <f>VLOOKUP(A457,'Overall Results'!$B$2:$I$543,10,FALSE)</f>
        <v>#REF!</v>
      </c>
      <c r="E457" s="3">
        <v>550.75</v>
      </c>
      <c r="F457" s="3">
        <v>6.72</v>
      </c>
      <c r="G457" s="8" t="e">
        <f>ABS(Table2[[#This Row],[E - FPts]]-Table2[[#This Row],[FPts]])</f>
        <v>#REF!</v>
      </c>
      <c r="H457" s="8" t="e">
        <f>ABS(Table2[[#This Row],[E - FP/G]]-Table2[[#This Row],[FP/G]])</f>
        <v>#REF!</v>
      </c>
    </row>
    <row r="458" spans="1:8" x14ac:dyDescent="0.25">
      <c r="A458" t="s">
        <v>214</v>
      </c>
      <c r="B458" t="s">
        <v>215</v>
      </c>
      <c r="C458" t="e">
        <f>VLOOKUP(A458,'Overall Results'!$B$2:$I$543,9,FALSE)</f>
        <v>#REF!</v>
      </c>
      <c r="D458" t="e">
        <f>VLOOKUP(A458,'Overall Results'!$B$2:$I$543,10,FALSE)</f>
        <v>#REF!</v>
      </c>
      <c r="E458" s="3">
        <v>629.4</v>
      </c>
      <c r="F458" s="3">
        <v>7.68</v>
      </c>
      <c r="G458" s="8" t="e">
        <f>ABS(Table2[[#This Row],[E - FPts]]-Table2[[#This Row],[FPts]])</f>
        <v>#REF!</v>
      </c>
      <c r="H458" s="8" t="e">
        <f>ABS(Table2[[#This Row],[E - FP/G]]-Table2[[#This Row],[FP/G]])</f>
        <v>#REF!</v>
      </c>
    </row>
    <row r="459" spans="1:8" x14ac:dyDescent="0.25">
      <c r="A459" t="s">
        <v>60</v>
      </c>
      <c r="B459" t="s">
        <v>61</v>
      </c>
      <c r="C459" t="e">
        <f>VLOOKUP(A459,'Overall Results'!$B$2:$I$543,9,FALSE)</f>
        <v>#REF!</v>
      </c>
      <c r="D459" t="e">
        <f>VLOOKUP(A459,'Overall Results'!$B$2:$I$543,10,FALSE)</f>
        <v>#REF!</v>
      </c>
      <c r="E459" s="3">
        <v>715.2</v>
      </c>
      <c r="F459" s="3">
        <v>8.7200000000000006</v>
      </c>
      <c r="G459" s="8" t="e">
        <f>ABS(Table2[[#This Row],[E - FPts]]-Table2[[#This Row],[FPts]])</f>
        <v>#REF!</v>
      </c>
      <c r="H459" s="8" t="e">
        <f>ABS(Table2[[#This Row],[E - FP/G]]-Table2[[#This Row],[FP/G]])</f>
        <v>#REF!</v>
      </c>
    </row>
    <row r="460" spans="1:8" x14ac:dyDescent="0.25">
      <c r="A460" t="s">
        <v>595</v>
      </c>
      <c r="B460" t="s">
        <v>596</v>
      </c>
      <c r="C460" t="e">
        <f>VLOOKUP(A460,'Overall Results'!$B$2:$I$543,9,FALSE)</f>
        <v>#REF!</v>
      </c>
      <c r="D460" t="e">
        <f>VLOOKUP(A460,'Overall Results'!$B$2:$I$543,10,FALSE)</f>
        <v>#REF!</v>
      </c>
      <c r="E460" s="3">
        <v>345.65</v>
      </c>
      <c r="F460" s="3">
        <v>4.49</v>
      </c>
      <c r="G460" s="8" t="e">
        <f>ABS(Table2[[#This Row],[E - FPts]]-Table2[[#This Row],[FPts]])</f>
        <v>#REF!</v>
      </c>
      <c r="H460" s="8" t="e">
        <f>ABS(Table2[[#This Row],[E - FP/G]]-Table2[[#This Row],[FP/G]])</f>
        <v>#REF!</v>
      </c>
    </row>
    <row r="461" spans="1:8" x14ac:dyDescent="0.25">
      <c r="A461" t="s">
        <v>224</v>
      </c>
      <c r="B461" t="s">
        <v>225</v>
      </c>
      <c r="C461" t="e">
        <f>VLOOKUP(A461,'Overall Results'!$B$2:$I$543,9,FALSE)</f>
        <v>#REF!</v>
      </c>
      <c r="D461" t="e">
        <f>VLOOKUP(A461,'Overall Results'!$B$2:$I$543,10,FALSE)</f>
        <v>#REF!</v>
      </c>
      <c r="E461" s="3">
        <v>513.85</v>
      </c>
      <c r="F461" s="3">
        <v>6.27</v>
      </c>
      <c r="G461" s="8" t="e">
        <f>ABS(Table2[[#This Row],[E - FPts]]-Table2[[#This Row],[FPts]])</f>
        <v>#REF!</v>
      </c>
      <c r="H461" s="8" t="e">
        <f>ABS(Table2[[#This Row],[E - FP/G]]-Table2[[#This Row],[FP/G]])</f>
        <v>#REF!</v>
      </c>
    </row>
    <row r="462" spans="1:8" x14ac:dyDescent="0.25">
      <c r="A462" t="s">
        <v>775</v>
      </c>
      <c r="B462" t="s">
        <v>776</v>
      </c>
      <c r="C462" t="e">
        <f>VLOOKUP(A462,'Overall Results'!$B$2:$I$543,9,FALSE)</f>
        <v>#REF!</v>
      </c>
      <c r="D462" t="e">
        <f>VLOOKUP(A462,'Overall Results'!$B$2:$I$543,10,FALSE)</f>
        <v>#REF!</v>
      </c>
      <c r="E462" s="3">
        <v>163</v>
      </c>
      <c r="F462" s="3">
        <v>3.26</v>
      </c>
      <c r="G462" s="8" t="e">
        <f>ABS(Table2[[#This Row],[E - FPts]]-Table2[[#This Row],[FPts]])</f>
        <v>#REF!</v>
      </c>
      <c r="H462" s="8" t="e">
        <f>ABS(Table2[[#This Row],[E - FP/G]]-Table2[[#This Row],[FP/G]])</f>
        <v>#REF!</v>
      </c>
    </row>
    <row r="463" spans="1:8" x14ac:dyDescent="0.25">
      <c r="A463" t="s">
        <v>303</v>
      </c>
      <c r="B463" t="s">
        <v>304</v>
      </c>
      <c r="C463" t="e">
        <f>VLOOKUP(A463,'Overall Results'!$B$2:$I$543,9,FALSE)</f>
        <v>#REF!</v>
      </c>
      <c r="D463" t="e">
        <f>VLOOKUP(A463,'Overall Results'!$B$2:$I$543,10,FALSE)</f>
        <v>#REF!</v>
      </c>
      <c r="E463" s="3">
        <v>421.1</v>
      </c>
      <c r="F463" s="3">
        <v>5.69</v>
      </c>
      <c r="G463" s="8" t="e">
        <f>ABS(Table2[[#This Row],[E - FPts]]-Table2[[#This Row],[FPts]])</f>
        <v>#REF!</v>
      </c>
      <c r="H463" s="8" t="e">
        <f>ABS(Table2[[#This Row],[E - FP/G]]-Table2[[#This Row],[FP/G]])</f>
        <v>#REF!</v>
      </c>
    </row>
    <row r="464" spans="1:8" x14ac:dyDescent="0.25">
      <c r="A464" t="s">
        <v>184</v>
      </c>
      <c r="B464" t="s">
        <v>185</v>
      </c>
      <c r="C464" t="e">
        <f>VLOOKUP(A464,'Overall Results'!$B$2:$I$543,9,FALSE)</f>
        <v>#REF!</v>
      </c>
      <c r="D464" t="e">
        <f>VLOOKUP(A464,'Overall Results'!$B$2:$I$543,10,FALSE)</f>
        <v>#REF!</v>
      </c>
      <c r="E464" s="3">
        <v>589.1</v>
      </c>
      <c r="F464" s="3">
        <v>7.18</v>
      </c>
      <c r="G464" s="8" t="e">
        <f>ABS(Table2[[#This Row],[E - FPts]]-Table2[[#This Row],[FPts]])</f>
        <v>#REF!</v>
      </c>
      <c r="H464" s="8" t="e">
        <f>ABS(Table2[[#This Row],[E - FP/G]]-Table2[[#This Row],[FP/G]])</f>
        <v>#REF!</v>
      </c>
    </row>
    <row r="465" spans="1:8" x14ac:dyDescent="0.25">
      <c r="A465" t="s">
        <v>1179</v>
      </c>
      <c r="B465" t="s">
        <v>1180</v>
      </c>
      <c r="C465" t="e">
        <f>VLOOKUP(A465,'Overall Results'!$B$2:$I$543,9,FALSE)</f>
        <v>#N/A</v>
      </c>
      <c r="D465" t="e">
        <f>VLOOKUP(A465,'Overall Results'!$B$2:$I$543,10,FALSE)</f>
        <v>#N/A</v>
      </c>
      <c r="E465" s="3">
        <v>5.65</v>
      </c>
      <c r="F465" s="3">
        <v>1.88</v>
      </c>
      <c r="G465" s="8" t="e">
        <f>ABS(Table2[[#This Row],[E - FPts]]-Table2[[#This Row],[FPts]])</f>
        <v>#N/A</v>
      </c>
      <c r="H465" s="8" t="e">
        <f>ABS(Table2[[#This Row],[E - FP/G]]-Table2[[#This Row],[FP/G]])</f>
        <v>#N/A</v>
      </c>
    </row>
    <row r="466" spans="1:8" x14ac:dyDescent="0.25">
      <c r="A466" t="s">
        <v>765</v>
      </c>
      <c r="B466" t="s">
        <v>766</v>
      </c>
      <c r="C466" t="e">
        <f>VLOOKUP(A466,'Overall Results'!$B$2:$I$543,9,FALSE)</f>
        <v>#REF!</v>
      </c>
      <c r="D466" t="e">
        <f>VLOOKUP(A466,'Overall Results'!$B$2:$I$543,10,FALSE)</f>
        <v>#REF!</v>
      </c>
      <c r="E466" s="3">
        <v>205.15</v>
      </c>
      <c r="F466" s="3">
        <v>3.31</v>
      </c>
      <c r="G466" s="8" t="e">
        <f>ABS(Table2[[#This Row],[E - FPts]]-Table2[[#This Row],[FPts]])</f>
        <v>#REF!</v>
      </c>
      <c r="H466" s="8" t="e">
        <f>ABS(Table2[[#This Row],[E - FP/G]]-Table2[[#This Row],[FP/G]])</f>
        <v>#REF!</v>
      </c>
    </row>
    <row r="467" spans="1:8" x14ac:dyDescent="0.25">
      <c r="A467" t="s">
        <v>963</v>
      </c>
      <c r="B467" t="s">
        <v>964</v>
      </c>
      <c r="C467" t="e">
        <f>VLOOKUP(A467,'Overall Results'!$B$2:$I$543,9,FALSE)</f>
        <v>#N/A</v>
      </c>
      <c r="D467" t="e">
        <f>VLOOKUP(A467,'Overall Results'!$B$2:$I$543,10,FALSE)</f>
        <v>#N/A</v>
      </c>
      <c r="E467" s="3">
        <v>231.15</v>
      </c>
      <c r="F467" s="3">
        <v>2.96</v>
      </c>
      <c r="G467" s="8" t="e">
        <f>ABS(Table2[[#This Row],[E - FPts]]-Table2[[#This Row],[FPts]])</f>
        <v>#N/A</v>
      </c>
      <c r="H467" s="8" t="e">
        <f>ABS(Table2[[#This Row],[E - FP/G]]-Table2[[#This Row],[FP/G]])</f>
        <v>#N/A</v>
      </c>
    </row>
    <row r="468" spans="1:8" x14ac:dyDescent="0.25">
      <c r="A468" t="s">
        <v>1320</v>
      </c>
      <c r="B468" t="s">
        <v>1321</v>
      </c>
      <c r="C468" t="e">
        <f>VLOOKUP(A468,'Overall Results'!$B$2:$I$543,9,FALSE)</f>
        <v>#REF!</v>
      </c>
      <c r="D468" t="e">
        <f>VLOOKUP(A468,'Overall Results'!$B$2:$I$543,10,FALSE)</f>
        <v>#REF!</v>
      </c>
      <c r="E468" s="3">
        <v>114.7</v>
      </c>
      <c r="F468" s="3">
        <v>2.44</v>
      </c>
      <c r="G468" s="8" t="e">
        <f>ABS(Table2[[#This Row],[E - FPts]]-Table2[[#This Row],[FPts]])</f>
        <v>#REF!</v>
      </c>
      <c r="H468" s="8" t="e">
        <f>ABS(Table2[[#This Row],[E - FP/G]]-Table2[[#This Row],[FP/G]])</f>
        <v>#REF!</v>
      </c>
    </row>
    <row r="469" spans="1:8" x14ac:dyDescent="0.25">
      <c r="A469" t="s">
        <v>459</v>
      </c>
      <c r="B469" t="s">
        <v>460</v>
      </c>
      <c r="C469" t="e">
        <f>VLOOKUP(A469,'Overall Results'!$B$2:$I$543,9,FALSE)</f>
        <v>#REF!</v>
      </c>
      <c r="D469" t="e">
        <f>VLOOKUP(A469,'Overall Results'!$B$2:$I$543,10,FALSE)</f>
        <v>#REF!</v>
      </c>
      <c r="E469" s="3">
        <v>301.89999999999998</v>
      </c>
      <c r="F469" s="3">
        <v>4.3099999999999996</v>
      </c>
      <c r="G469" s="8" t="e">
        <f>ABS(Table2[[#This Row],[E - FPts]]-Table2[[#This Row],[FPts]])</f>
        <v>#REF!</v>
      </c>
      <c r="H469" s="8" t="e">
        <f>ABS(Table2[[#This Row],[E - FP/G]]-Table2[[#This Row],[FP/G]])</f>
        <v>#REF!</v>
      </c>
    </row>
    <row r="470" spans="1:8" x14ac:dyDescent="0.25">
      <c r="A470" t="s">
        <v>823</v>
      </c>
      <c r="B470" t="s">
        <v>824</v>
      </c>
      <c r="C470" t="e">
        <f>VLOOKUP(A470,'Overall Results'!$B$2:$I$543,9,FALSE)</f>
        <v>#N/A</v>
      </c>
      <c r="D470" t="e">
        <f>VLOOKUP(A470,'Overall Results'!$B$2:$I$543,10,FALSE)</f>
        <v>#N/A</v>
      </c>
      <c r="E470" s="3">
        <v>169.5</v>
      </c>
      <c r="F470" s="3">
        <v>3.46</v>
      </c>
      <c r="G470" s="8" t="e">
        <f>ABS(Table2[[#This Row],[E - FPts]]-Table2[[#This Row],[FPts]])</f>
        <v>#N/A</v>
      </c>
      <c r="H470" s="8" t="e">
        <f>ABS(Table2[[#This Row],[E - FP/G]]-Table2[[#This Row],[FP/G]])</f>
        <v>#N/A</v>
      </c>
    </row>
    <row r="471" spans="1:8" x14ac:dyDescent="0.25">
      <c r="A471" t="s">
        <v>925</v>
      </c>
      <c r="B471" t="s">
        <v>926</v>
      </c>
      <c r="C471" t="e">
        <f>VLOOKUP(A471,'Overall Results'!$B$2:$I$543,9,FALSE)</f>
        <v>#REF!</v>
      </c>
      <c r="D471" t="e">
        <f>VLOOKUP(A471,'Overall Results'!$B$2:$I$543,10,FALSE)</f>
        <v>#REF!</v>
      </c>
      <c r="E471" s="3">
        <v>234.55</v>
      </c>
      <c r="F471" s="3">
        <v>3.3</v>
      </c>
      <c r="G471" s="8" t="e">
        <f>ABS(Table2[[#This Row],[E - FPts]]-Table2[[#This Row],[FPts]])</f>
        <v>#REF!</v>
      </c>
      <c r="H471" s="8" t="e">
        <f>ABS(Table2[[#This Row],[E - FP/G]]-Table2[[#This Row],[FP/G]])</f>
        <v>#REF!</v>
      </c>
    </row>
    <row r="472" spans="1:8" x14ac:dyDescent="0.25">
      <c r="A472" t="s">
        <v>179</v>
      </c>
      <c r="B472" t="s">
        <v>180</v>
      </c>
      <c r="C472" t="e">
        <f>VLOOKUP(A472,'Overall Results'!$B$2:$I$543,9,FALSE)</f>
        <v>#REF!</v>
      </c>
      <c r="D472" t="e">
        <f>VLOOKUP(A472,'Overall Results'!$B$2:$I$543,10,FALSE)</f>
        <v>#REF!</v>
      </c>
      <c r="E472" s="3">
        <v>377.65</v>
      </c>
      <c r="F472" s="3">
        <v>4.97</v>
      </c>
      <c r="G472" s="8" t="e">
        <f>ABS(Table2[[#This Row],[E - FPts]]-Table2[[#This Row],[FPts]])</f>
        <v>#REF!</v>
      </c>
      <c r="H472" s="8" t="e">
        <f>ABS(Table2[[#This Row],[E - FP/G]]-Table2[[#This Row],[FP/G]])</f>
        <v>#REF!</v>
      </c>
    </row>
    <row r="473" spans="1:8" x14ac:dyDescent="0.25">
      <c r="A473" t="s">
        <v>605</v>
      </c>
      <c r="B473" t="s">
        <v>606</v>
      </c>
      <c r="C473" t="e">
        <f>VLOOKUP(A473,'Overall Results'!$B$2:$I$543,9,FALSE)</f>
        <v>#REF!</v>
      </c>
      <c r="D473" t="e">
        <f>VLOOKUP(A473,'Overall Results'!$B$2:$I$543,10,FALSE)</f>
        <v>#REF!</v>
      </c>
      <c r="E473" s="3">
        <v>308.75</v>
      </c>
      <c r="F473" s="3">
        <v>3.86</v>
      </c>
      <c r="G473" s="8" t="e">
        <f>ABS(Table2[[#This Row],[E - FPts]]-Table2[[#This Row],[FPts]])</f>
        <v>#REF!</v>
      </c>
      <c r="H473" s="8" t="e">
        <f>ABS(Table2[[#This Row],[E - FP/G]]-Table2[[#This Row],[FP/G]])</f>
        <v>#REF!</v>
      </c>
    </row>
    <row r="474" spans="1:8" x14ac:dyDescent="0.25">
      <c r="A474" t="s">
        <v>937</v>
      </c>
      <c r="B474" t="s">
        <v>938</v>
      </c>
      <c r="C474" t="e">
        <f>VLOOKUP(A474,'Overall Results'!$B$2:$I$543,9,FALSE)</f>
        <v>#REF!</v>
      </c>
      <c r="D474" t="e">
        <f>VLOOKUP(A474,'Overall Results'!$B$2:$I$543,10,FALSE)</f>
        <v>#REF!</v>
      </c>
      <c r="E474" s="3">
        <v>250.65</v>
      </c>
      <c r="F474" s="3">
        <v>3.06</v>
      </c>
      <c r="G474" s="8" t="e">
        <f>ABS(Table2[[#This Row],[E - FPts]]-Table2[[#This Row],[FPts]])</f>
        <v>#REF!</v>
      </c>
      <c r="H474" s="8" t="e">
        <f>ABS(Table2[[#This Row],[E - FP/G]]-Table2[[#This Row],[FP/G]])</f>
        <v>#REF!</v>
      </c>
    </row>
    <row r="475" spans="1:8" x14ac:dyDescent="0.25">
      <c r="A475" t="s">
        <v>1326</v>
      </c>
      <c r="B475" t="s">
        <v>1327</v>
      </c>
      <c r="C475" t="e">
        <f>VLOOKUP(A475,'Overall Results'!$B$2:$I$543,9,FALSE)</f>
        <v>#N/A</v>
      </c>
      <c r="D475" t="e">
        <f>VLOOKUP(A475,'Overall Results'!$B$2:$I$543,10,FALSE)</f>
        <v>#N/A</v>
      </c>
      <c r="E475" s="3">
        <v>107.35</v>
      </c>
      <c r="F475" s="3">
        <v>2.2799999999999998</v>
      </c>
      <c r="G475" s="8" t="e">
        <f>ABS(Table2[[#This Row],[E - FPts]]-Table2[[#This Row],[FPts]])</f>
        <v>#N/A</v>
      </c>
      <c r="H475" s="8" t="e">
        <f>ABS(Table2[[#This Row],[E - FP/G]]-Table2[[#This Row],[FP/G]])</f>
        <v>#N/A</v>
      </c>
    </row>
    <row r="476" spans="1:8" x14ac:dyDescent="0.25">
      <c r="A476" t="s">
        <v>803</v>
      </c>
      <c r="B476" t="s">
        <v>804</v>
      </c>
      <c r="C476" t="e">
        <f>VLOOKUP(A476,'Overall Results'!$B$2:$I$543,9,FALSE)</f>
        <v>#REF!</v>
      </c>
      <c r="D476" t="e">
        <f>VLOOKUP(A476,'Overall Results'!$B$2:$I$543,10,FALSE)</f>
        <v>#REF!</v>
      </c>
      <c r="E476" s="3">
        <v>234.45</v>
      </c>
      <c r="F476" s="3">
        <v>2.86</v>
      </c>
      <c r="G476" s="8" t="e">
        <f>ABS(Table2[[#This Row],[E - FPts]]-Table2[[#This Row],[FPts]])</f>
        <v>#REF!</v>
      </c>
      <c r="H476" s="8" t="e">
        <f>ABS(Table2[[#This Row],[E - FP/G]]-Table2[[#This Row],[FP/G]])</f>
        <v>#REF!</v>
      </c>
    </row>
    <row r="477" spans="1:8" x14ac:dyDescent="0.25">
      <c r="A477" t="s">
        <v>651</v>
      </c>
      <c r="B477" t="s">
        <v>652</v>
      </c>
      <c r="C477" t="e">
        <f>VLOOKUP(A477,'Overall Results'!$B$2:$I$543,9,FALSE)</f>
        <v>#REF!</v>
      </c>
      <c r="D477" t="e">
        <f>VLOOKUP(A477,'Overall Results'!$B$2:$I$543,10,FALSE)</f>
        <v>#REF!</v>
      </c>
      <c r="E477" s="3">
        <v>291</v>
      </c>
      <c r="F477" s="3">
        <v>3.64</v>
      </c>
      <c r="G477" s="8" t="e">
        <f>ABS(Table2[[#This Row],[E - FPts]]-Table2[[#This Row],[FPts]])</f>
        <v>#REF!</v>
      </c>
      <c r="H477" s="8" t="e">
        <f>ABS(Table2[[#This Row],[E - FP/G]]-Table2[[#This Row],[FP/G]])</f>
        <v>#REF!</v>
      </c>
    </row>
    <row r="478" spans="1:8" x14ac:dyDescent="0.25">
      <c r="A478" t="s">
        <v>513</v>
      </c>
      <c r="B478" t="s">
        <v>514</v>
      </c>
      <c r="C478" t="e">
        <f>VLOOKUP(A478,'Overall Results'!$B$2:$I$543,9,FALSE)</f>
        <v>#REF!</v>
      </c>
      <c r="D478" t="e">
        <f>VLOOKUP(A478,'Overall Results'!$B$2:$I$543,10,FALSE)</f>
        <v>#REF!</v>
      </c>
      <c r="E478" s="3">
        <v>220.65</v>
      </c>
      <c r="F478" s="3">
        <v>4.01</v>
      </c>
      <c r="G478" s="8" t="e">
        <f>ABS(Table2[[#This Row],[E - FPts]]-Table2[[#This Row],[FPts]])</f>
        <v>#REF!</v>
      </c>
      <c r="H478" s="8" t="e">
        <f>ABS(Table2[[#This Row],[E - FP/G]]-Table2[[#This Row],[FP/G]])</f>
        <v>#REF!</v>
      </c>
    </row>
    <row r="479" spans="1:8" x14ac:dyDescent="0.25">
      <c r="A479" t="s">
        <v>843</v>
      </c>
      <c r="B479" t="s">
        <v>844</v>
      </c>
      <c r="C479" t="e">
        <f>VLOOKUP(A479,'Overall Results'!$B$2:$I$543,9,FALSE)</f>
        <v>#REF!</v>
      </c>
      <c r="D479" t="e">
        <f>VLOOKUP(A479,'Overall Results'!$B$2:$I$543,10,FALSE)</f>
        <v>#REF!</v>
      </c>
      <c r="E479" s="3">
        <v>291.10000000000002</v>
      </c>
      <c r="F479" s="3">
        <v>3.55</v>
      </c>
      <c r="G479" s="8" t="e">
        <f>ABS(Table2[[#This Row],[E - FPts]]-Table2[[#This Row],[FPts]])</f>
        <v>#REF!</v>
      </c>
      <c r="H479" s="8" t="e">
        <f>ABS(Table2[[#This Row],[E - FP/G]]-Table2[[#This Row],[FP/G]])</f>
        <v>#REF!</v>
      </c>
    </row>
    <row r="480" spans="1:8" x14ac:dyDescent="0.25">
      <c r="A480" t="s">
        <v>188</v>
      </c>
      <c r="B480" t="s">
        <v>189</v>
      </c>
      <c r="C480" t="e">
        <f>VLOOKUP(A480,'Overall Results'!$B$2:$I$543,9,FALSE)</f>
        <v>#REF!</v>
      </c>
      <c r="D480" t="e">
        <f>VLOOKUP(A480,'Overall Results'!$B$2:$I$543,10,FALSE)</f>
        <v>#REF!</v>
      </c>
      <c r="E480" s="3">
        <v>455.8</v>
      </c>
      <c r="F480" s="3">
        <v>6.33</v>
      </c>
      <c r="G480" s="8" t="e">
        <f>ABS(Table2[[#This Row],[E - FPts]]-Table2[[#This Row],[FPts]])</f>
        <v>#REF!</v>
      </c>
      <c r="H480" s="8" t="e">
        <f>ABS(Table2[[#This Row],[E - FP/G]]-Table2[[#This Row],[FP/G]])</f>
        <v>#REF!</v>
      </c>
    </row>
    <row r="481" spans="1:8" x14ac:dyDescent="0.25">
      <c r="A481" t="s">
        <v>1167</v>
      </c>
      <c r="B481" t="s">
        <v>1168</v>
      </c>
      <c r="C481" t="e">
        <f>VLOOKUP(A481,'Overall Results'!$B$2:$I$543,9,FALSE)</f>
        <v>#N/A</v>
      </c>
      <c r="D481" t="e">
        <f>VLOOKUP(A481,'Overall Results'!$B$2:$I$543,10,FALSE)</f>
        <v>#N/A</v>
      </c>
      <c r="E481" s="3">
        <v>74.099999999999994</v>
      </c>
      <c r="F481" s="3">
        <v>2.25</v>
      </c>
      <c r="G481" s="8" t="e">
        <f>ABS(Table2[[#This Row],[E - FPts]]-Table2[[#This Row],[FPts]])</f>
        <v>#N/A</v>
      </c>
      <c r="H481" s="8" t="e">
        <f>ABS(Table2[[#This Row],[E - FP/G]]-Table2[[#This Row],[FP/G]])</f>
        <v>#N/A</v>
      </c>
    </row>
    <row r="482" spans="1:8" x14ac:dyDescent="0.25">
      <c r="A482" t="s">
        <v>761</v>
      </c>
      <c r="B482" t="s">
        <v>762</v>
      </c>
      <c r="C482" t="e">
        <f>VLOOKUP(A482,'Overall Results'!$B$2:$I$543,9,FALSE)</f>
        <v>#REF!</v>
      </c>
      <c r="D482" t="e">
        <f>VLOOKUP(A482,'Overall Results'!$B$2:$I$543,10,FALSE)</f>
        <v>#REF!</v>
      </c>
      <c r="E482" s="3">
        <v>218.7</v>
      </c>
      <c r="F482" s="3">
        <v>3.42</v>
      </c>
      <c r="G482" s="8" t="e">
        <f>ABS(Table2[[#This Row],[E - FPts]]-Table2[[#This Row],[FPts]])</f>
        <v>#REF!</v>
      </c>
      <c r="H482" s="8" t="e">
        <f>ABS(Table2[[#This Row],[E - FP/G]]-Table2[[#This Row],[FP/G]])</f>
        <v>#REF!</v>
      </c>
    </row>
    <row r="483" spans="1:8" x14ac:dyDescent="0.25">
      <c r="A483" t="s">
        <v>511</v>
      </c>
      <c r="B483" t="s">
        <v>512</v>
      </c>
      <c r="C483" t="e">
        <f>VLOOKUP(A483,'Overall Results'!$B$2:$I$543,9,FALSE)</f>
        <v>#REF!</v>
      </c>
      <c r="D483" t="e">
        <f>VLOOKUP(A483,'Overall Results'!$B$2:$I$543,10,FALSE)</f>
        <v>#REF!</v>
      </c>
      <c r="E483" s="3">
        <v>361.05</v>
      </c>
      <c r="F483" s="3">
        <v>4.57</v>
      </c>
      <c r="G483" s="8" t="e">
        <f>ABS(Table2[[#This Row],[E - FPts]]-Table2[[#This Row],[FPts]])</f>
        <v>#REF!</v>
      </c>
      <c r="H483" s="8" t="e">
        <f>ABS(Table2[[#This Row],[E - FP/G]]-Table2[[#This Row],[FP/G]])</f>
        <v>#REF!</v>
      </c>
    </row>
    <row r="484" spans="1:8" x14ac:dyDescent="0.25">
      <c r="A484" t="s">
        <v>1269</v>
      </c>
      <c r="B484" t="s">
        <v>1270</v>
      </c>
      <c r="C484" t="e">
        <f>VLOOKUP(A484,'Overall Results'!$B$2:$I$543,9,FALSE)</f>
        <v>#REF!</v>
      </c>
      <c r="D484" t="e">
        <f>VLOOKUP(A484,'Overall Results'!$B$2:$I$543,10,FALSE)</f>
        <v>#REF!</v>
      </c>
      <c r="E484" s="3">
        <v>67</v>
      </c>
      <c r="F484" s="3">
        <v>2.79</v>
      </c>
      <c r="G484" s="8" t="e">
        <f>ABS(Table2[[#This Row],[E - FPts]]-Table2[[#This Row],[FPts]])</f>
        <v>#REF!</v>
      </c>
      <c r="H484" s="8" t="e">
        <f>ABS(Table2[[#This Row],[E - FP/G]]-Table2[[#This Row],[FP/G]])</f>
        <v>#REF!</v>
      </c>
    </row>
    <row r="485" spans="1:8" x14ac:dyDescent="0.25">
      <c r="A485" t="s">
        <v>1193</v>
      </c>
      <c r="B485" t="s">
        <v>1194</v>
      </c>
      <c r="C485" t="e">
        <f>VLOOKUP(A485,'Overall Results'!$B$2:$I$543,9,FALSE)</f>
        <v>#N/A</v>
      </c>
      <c r="D485" t="e">
        <f>VLOOKUP(A485,'Overall Results'!$B$2:$I$543,10,FALSE)</f>
        <v>#N/A</v>
      </c>
      <c r="E485" s="3">
        <v>84.45</v>
      </c>
      <c r="F485" s="3">
        <v>1.62</v>
      </c>
      <c r="G485" s="8" t="e">
        <f>ABS(Table2[[#This Row],[E - FPts]]-Table2[[#This Row],[FPts]])</f>
        <v>#N/A</v>
      </c>
      <c r="H485" s="8" t="e">
        <f>ABS(Table2[[#This Row],[E - FP/G]]-Table2[[#This Row],[FP/G]])</f>
        <v>#N/A</v>
      </c>
    </row>
    <row r="486" spans="1:8" x14ac:dyDescent="0.25">
      <c r="A486" t="s">
        <v>1071</v>
      </c>
      <c r="B486" t="s">
        <v>1072</v>
      </c>
      <c r="C486" t="e">
        <f>VLOOKUP(A486,'Overall Results'!$B$2:$I$543,9,FALSE)</f>
        <v>#N/A</v>
      </c>
      <c r="D486" t="e">
        <f>VLOOKUP(A486,'Overall Results'!$B$2:$I$543,10,FALSE)</f>
        <v>#N/A</v>
      </c>
      <c r="E486" s="3">
        <v>166.1</v>
      </c>
      <c r="F486" s="3">
        <v>2.77</v>
      </c>
      <c r="G486" s="8" t="e">
        <f>ABS(Table2[[#This Row],[E - FPts]]-Table2[[#This Row],[FPts]])</f>
        <v>#N/A</v>
      </c>
      <c r="H486" s="8" t="e">
        <f>ABS(Table2[[#This Row],[E - FP/G]]-Table2[[#This Row],[FP/G]])</f>
        <v>#N/A</v>
      </c>
    </row>
    <row r="487" spans="1:8" x14ac:dyDescent="0.25">
      <c r="A487" t="s">
        <v>519</v>
      </c>
      <c r="B487" t="s">
        <v>520</v>
      </c>
      <c r="C487" t="e">
        <f>VLOOKUP(A487,'Overall Results'!$B$2:$I$543,9,FALSE)</f>
        <v>#REF!</v>
      </c>
      <c r="D487" t="e">
        <f>VLOOKUP(A487,'Overall Results'!$B$2:$I$543,10,FALSE)</f>
        <v>#REF!</v>
      </c>
      <c r="E487" s="3">
        <v>285.35000000000002</v>
      </c>
      <c r="F487" s="3">
        <v>3.61</v>
      </c>
      <c r="G487" s="8" t="e">
        <f>ABS(Table2[[#This Row],[E - FPts]]-Table2[[#This Row],[FPts]])</f>
        <v>#REF!</v>
      </c>
      <c r="H487" s="8" t="e">
        <f>ABS(Table2[[#This Row],[E - FP/G]]-Table2[[#This Row],[FP/G]])</f>
        <v>#REF!</v>
      </c>
    </row>
    <row r="488" spans="1:8" x14ac:dyDescent="0.25">
      <c r="A488" t="s">
        <v>451</v>
      </c>
      <c r="B488" t="s">
        <v>452</v>
      </c>
      <c r="C488" t="e">
        <f>VLOOKUP(A488,'Overall Results'!$B$2:$I$543,9,FALSE)</f>
        <v>#REF!</v>
      </c>
      <c r="D488" t="e">
        <f>VLOOKUP(A488,'Overall Results'!$B$2:$I$543,10,FALSE)</f>
        <v>#REF!</v>
      </c>
      <c r="E488" s="3">
        <v>396.25</v>
      </c>
      <c r="F488" s="3">
        <v>4.83</v>
      </c>
      <c r="G488" s="8" t="e">
        <f>ABS(Table2[[#This Row],[E - FPts]]-Table2[[#This Row],[FPts]])</f>
        <v>#REF!</v>
      </c>
      <c r="H488" s="8" t="e">
        <f>ABS(Table2[[#This Row],[E - FP/G]]-Table2[[#This Row],[FP/G]])</f>
        <v>#REF!</v>
      </c>
    </row>
    <row r="489" spans="1:8" x14ac:dyDescent="0.25">
      <c r="A489" t="s">
        <v>891</v>
      </c>
      <c r="B489" t="s">
        <v>892</v>
      </c>
      <c r="C489" t="e">
        <f>VLOOKUP(A489,'Overall Results'!$B$2:$I$543,9,FALSE)</f>
        <v>#REF!</v>
      </c>
      <c r="D489" t="e">
        <f>VLOOKUP(A489,'Overall Results'!$B$2:$I$543,10,FALSE)</f>
        <v>#REF!</v>
      </c>
      <c r="E489" s="3">
        <v>224.9</v>
      </c>
      <c r="F489" s="3">
        <v>3.08</v>
      </c>
      <c r="G489" s="8" t="e">
        <f>ABS(Table2[[#This Row],[E - FPts]]-Table2[[#This Row],[FPts]])</f>
        <v>#REF!</v>
      </c>
      <c r="H489" s="8" t="e">
        <f>ABS(Table2[[#This Row],[E - FP/G]]-Table2[[#This Row],[FP/G]])</f>
        <v>#REF!</v>
      </c>
    </row>
    <row r="490" spans="1:8" x14ac:dyDescent="0.25">
      <c r="A490" t="s">
        <v>749</v>
      </c>
      <c r="B490" t="s">
        <v>750</v>
      </c>
      <c r="C490" t="e">
        <f>VLOOKUP(A490,'Overall Results'!$B$2:$I$543,9,FALSE)</f>
        <v>#REF!</v>
      </c>
      <c r="D490" t="e">
        <f>VLOOKUP(A490,'Overall Results'!$B$2:$I$543,10,FALSE)</f>
        <v>#REF!</v>
      </c>
      <c r="E490" s="3">
        <v>245.35</v>
      </c>
      <c r="F490" s="3">
        <v>2.99</v>
      </c>
      <c r="G490" s="8" t="e">
        <f>ABS(Table2[[#This Row],[E - FPts]]-Table2[[#This Row],[FPts]])</f>
        <v>#REF!</v>
      </c>
      <c r="H490" s="8" t="e">
        <f>ABS(Table2[[#This Row],[E - FP/G]]-Table2[[#This Row],[FP/G]])</f>
        <v>#REF!</v>
      </c>
    </row>
    <row r="491" spans="1:8" x14ac:dyDescent="0.25">
      <c r="A491" t="s">
        <v>1135</v>
      </c>
      <c r="B491" t="s">
        <v>1136</v>
      </c>
      <c r="C491" t="e">
        <f>VLOOKUP(A491,'Overall Results'!$B$2:$I$543,9,FALSE)</f>
        <v>#REF!</v>
      </c>
      <c r="D491" t="e">
        <f>VLOOKUP(A491,'Overall Results'!$B$2:$I$543,10,FALSE)</f>
        <v>#REF!</v>
      </c>
      <c r="E491" s="3">
        <v>183.7</v>
      </c>
      <c r="F491" s="3">
        <v>2.27</v>
      </c>
      <c r="G491" s="8" t="e">
        <f>ABS(Table2[[#This Row],[E - FPts]]-Table2[[#This Row],[FPts]])</f>
        <v>#REF!</v>
      </c>
      <c r="H491" s="8" t="e">
        <f>ABS(Table2[[#This Row],[E - FP/G]]-Table2[[#This Row],[FP/G]])</f>
        <v>#REF!</v>
      </c>
    </row>
    <row r="492" spans="1:8" x14ac:dyDescent="0.25">
      <c r="A492" t="s">
        <v>1183</v>
      </c>
      <c r="B492" t="s">
        <v>1184</v>
      </c>
      <c r="C492" t="e">
        <f>VLOOKUP(A492,'Overall Results'!$B$2:$I$543,9,FALSE)</f>
        <v>#N/A</v>
      </c>
      <c r="D492" t="e">
        <f>VLOOKUP(A492,'Overall Results'!$B$2:$I$543,10,FALSE)</f>
        <v>#N/A</v>
      </c>
      <c r="E492" s="3">
        <v>12.25</v>
      </c>
      <c r="F492" s="3">
        <v>2.04</v>
      </c>
      <c r="G492" s="8" t="e">
        <f>ABS(Table2[[#This Row],[E - FPts]]-Table2[[#This Row],[FPts]])</f>
        <v>#N/A</v>
      </c>
      <c r="H492" s="8" t="e">
        <f>ABS(Table2[[#This Row],[E - FP/G]]-Table2[[#This Row],[FP/G]])</f>
        <v>#N/A</v>
      </c>
    </row>
    <row r="493" spans="1:8" x14ac:dyDescent="0.25">
      <c r="A493" t="s">
        <v>168</v>
      </c>
      <c r="B493" t="s">
        <v>169</v>
      </c>
      <c r="C493" t="e">
        <f>VLOOKUP(A493,'Overall Results'!$B$2:$I$543,9,FALSE)</f>
        <v>#REF!</v>
      </c>
      <c r="D493" t="e">
        <f>VLOOKUP(A493,'Overall Results'!$B$2:$I$543,10,FALSE)</f>
        <v>#REF!</v>
      </c>
      <c r="E493" s="3">
        <v>600.4</v>
      </c>
      <c r="F493" s="3">
        <v>7.7</v>
      </c>
      <c r="G493" s="8" t="e">
        <f>ABS(Table2[[#This Row],[E - FPts]]-Table2[[#This Row],[FPts]])</f>
        <v>#REF!</v>
      </c>
      <c r="H493" s="8" t="e">
        <f>ABS(Table2[[#This Row],[E - FP/G]]-Table2[[#This Row],[FP/G]])</f>
        <v>#REF!</v>
      </c>
    </row>
    <row r="494" spans="1:8" x14ac:dyDescent="0.25">
      <c r="A494" t="s">
        <v>845</v>
      </c>
      <c r="B494" t="s">
        <v>846</v>
      </c>
      <c r="C494" t="e">
        <f>VLOOKUP(A494,'Overall Results'!$B$2:$I$543,9,FALSE)</f>
        <v>#REF!</v>
      </c>
      <c r="D494" t="e">
        <f>VLOOKUP(A494,'Overall Results'!$B$2:$I$543,10,FALSE)</f>
        <v>#REF!</v>
      </c>
      <c r="E494" s="3">
        <v>243.9</v>
      </c>
      <c r="F494" s="3">
        <v>3.34</v>
      </c>
      <c r="G494" s="8" t="e">
        <f>ABS(Table2[[#This Row],[E - FPts]]-Table2[[#This Row],[FPts]])</f>
        <v>#REF!</v>
      </c>
      <c r="H494" s="8" t="e">
        <f>ABS(Table2[[#This Row],[E - FP/G]]-Table2[[#This Row],[FP/G]])</f>
        <v>#REF!</v>
      </c>
    </row>
    <row r="495" spans="1:8" x14ac:dyDescent="0.25">
      <c r="A495" t="s">
        <v>1520</v>
      </c>
      <c r="B495" t="s">
        <v>1521</v>
      </c>
      <c r="C495" t="e">
        <f>VLOOKUP(A495,'Overall Results'!$B$2:$I$543,9,FALSE)</f>
        <v>#N/A</v>
      </c>
      <c r="D495" t="e">
        <f>VLOOKUP(A495,'Overall Results'!$B$2:$I$543,10,FALSE)</f>
        <v>#N/A</v>
      </c>
      <c r="E495" s="3">
        <v>113.05</v>
      </c>
      <c r="F495" s="3">
        <v>2.46</v>
      </c>
      <c r="G495" s="8" t="e">
        <f>ABS(Table2[[#This Row],[E - FPts]]-Table2[[#This Row],[FPts]])</f>
        <v>#N/A</v>
      </c>
      <c r="H495" s="8" t="e">
        <f>ABS(Table2[[#This Row],[E - FP/G]]-Table2[[#This Row],[FP/G]])</f>
        <v>#N/A</v>
      </c>
    </row>
    <row r="496" spans="1:8" x14ac:dyDescent="0.25">
      <c r="A496" t="s">
        <v>18</v>
      </c>
      <c r="B496" t="s">
        <v>19</v>
      </c>
      <c r="C496" t="e">
        <f>VLOOKUP(A496,'Overall Results'!$B$2:$I$543,9,FALSE)</f>
        <v>#REF!</v>
      </c>
      <c r="D496" t="e">
        <f>VLOOKUP(A496,'Overall Results'!$B$2:$I$543,10,FALSE)</f>
        <v>#REF!</v>
      </c>
      <c r="E496" s="3">
        <v>826.65</v>
      </c>
      <c r="F496" s="3">
        <v>10.08</v>
      </c>
      <c r="G496" s="8" t="e">
        <f>ABS(Table2[[#This Row],[E - FPts]]-Table2[[#This Row],[FPts]])</f>
        <v>#REF!</v>
      </c>
      <c r="H496" s="8" t="e">
        <f>ABS(Table2[[#This Row],[E - FP/G]]-Table2[[#This Row],[FP/G]])</f>
        <v>#REF!</v>
      </c>
    </row>
    <row r="497" spans="1:8" x14ac:dyDescent="0.25">
      <c r="A497" t="s">
        <v>489</v>
      </c>
      <c r="B497" t="s">
        <v>490</v>
      </c>
      <c r="C497" t="e">
        <f>VLOOKUP(A497,'Overall Results'!$B$2:$I$543,9,FALSE)</f>
        <v>#REF!</v>
      </c>
      <c r="D497" t="e">
        <f>VLOOKUP(A497,'Overall Results'!$B$2:$I$543,10,FALSE)</f>
        <v>#REF!</v>
      </c>
      <c r="E497" s="3">
        <v>337</v>
      </c>
      <c r="F497" s="3">
        <v>4.16</v>
      </c>
      <c r="G497" s="8" t="e">
        <f>ABS(Table2[[#This Row],[E - FPts]]-Table2[[#This Row],[FPts]])</f>
        <v>#REF!</v>
      </c>
      <c r="H497" s="8" t="e">
        <f>ABS(Table2[[#This Row],[E - FP/G]]-Table2[[#This Row],[FP/G]])</f>
        <v>#REF!</v>
      </c>
    </row>
    <row r="498" spans="1:8" x14ac:dyDescent="0.25">
      <c r="A498" t="s">
        <v>615</v>
      </c>
      <c r="B498" t="s">
        <v>616</v>
      </c>
      <c r="C498" t="e">
        <f>VLOOKUP(A498,'Overall Results'!$B$2:$I$543,9,FALSE)</f>
        <v>#REF!</v>
      </c>
      <c r="D498" t="e">
        <f>VLOOKUP(A498,'Overall Results'!$B$2:$I$543,10,FALSE)</f>
        <v>#REF!</v>
      </c>
      <c r="E498" s="3">
        <v>286.5</v>
      </c>
      <c r="F498" s="3">
        <v>3.58</v>
      </c>
      <c r="G498" s="8" t="e">
        <f>ABS(Table2[[#This Row],[E - FPts]]-Table2[[#This Row],[FPts]])</f>
        <v>#REF!</v>
      </c>
      <c r="H498" s="8" t="e">
        <f>ABS(Table2[[#This Row],[E - FP/G]]-Table2[[#This Row],[FP/G]])</f>
        <v>#REF!</v>
      </c>
    </row>
    <row r="499" spans="1:8" x14ac:dyDescent="0.25">
      <c r="A499" t="s">
        <v>14</v>
      </c>
      <c r="B499" t="s">
        <v>15</v>
      </c>
      <c r="C499" t="e">
        <f>VLOOKUP(A499,'Overall Results'!$B$2:$I$543,9,FALSE)</f>
        <v>#REF!</v>
      </c>
      <c r="D499" t="e">
        <f>VLOOKUP(A499,'Overall Results'!$B$2:$I$543,10,FALSE)</f>
        <v>#REF!</v>
      </c>
      <c r="E499" s="3">
        <v>701.4</v>
      </c>
      <c r="F499" s="3">
        <v>9.35</v>
      </c>
      <c r="G499" s="8" t="e">
        <f>ABS(Table2[[#This Row],[E - FPts]]-Table2[[#This Row],[FPts]])</f>
        <v>#REF!</v>
      </c>
      <c r="H499" s="8" t="e">
        <f>ABS(Table2[[#This Row],[E - FP/G]]-Table2[[#This Row],[FP/G]])</f>
        <v>#REF!</v>
      </c>
    </row>
    <row r="500" spans="1:8" x14ac:dyDescent="0.25">
      <c r="A500" t="s">
        <v>521</v>
      </c>
      <c r="B500" t="s">
        <v>522</v>
      </c>
      <c r="C500" t="e">
        <f>VLOOKUP(A500,'Overall Results'!$B$2:$I$543,9,FALSE)</f>
        <v>#REF!</v>
      </c>
      <c r="D500" t="e">
        <f>VLOOKUP(A500,'Overall Results'!$B$2:$I$543,10,FALSE)</f>
        <v>#REF!</v>
      </c>
      <c r="E500" s="3">
        <v>337.95</v>
      </c>
      <c r="F500" s="3">
        <v>4.17</v>
      </c>
      <c r="G500" s="8" t="e">
        <f>ABS(Table2[[#This Row],[E - FPts]]-Table2[[#This Row],[FPts]])</f>
        <v>#REF!</v>
      </c>
      <c r="H500" s="8" t="e">
        <f>ABS(Table2[[#This Row],[E - FP/G]]-Table2[[#This Row],[FP/G]])</f>
        <v>#REF!</v>
      </c>
    </row>
    <row r="501" spans="1:8" x14ac:dyDescent="0.25">
      <c r="A501" t="s">
        <v>711</v>
      </c>
      <c r="B501" t="s">
        <v>712</v>
      </c>
      <c r="C501" t="e">
        <f>VLOOKUP(A501,'Overall Results'!$B$2:$I$543,9,FALSE)</f>
        <v>#REF!</v>
      </c>
      <c r="D501" t="e">
        <f>VLOOKUP(A501,'Overall Results'!$B$2:$I$543,10,FALSE)</f>
        <v>#REF!</v>
      </c>
      <c r="E501" s="3">
        <v>280.75</v>
      </c>
      <c r="F501" s="3">
        <v>3.6</v>
      </c>
      <c r="G501" s="8" t="e">
        <f>ABS(Table2[[#This Row],[E - FPts]]-Table2[[#This Row],[FPts]])</f>
        <v>#REF!</v>
      </c>
      <c r="H501" s="8" t="e">
        <f>ABS(Table2[[#This Row],[E - FP/G]]-Table2[[#This Row],[FP/G]])</f>
        <v>#REF!</v>
      </c>
    </row>
    <row r="502" spans="1:8" x14ac:dyDescent="0.25">
      <c r="A502" t="s">
        <v>707</v>
      </c>
      <c r="B502" t="s">
        <v>708</v>
      </c>
      <c r="C502" t="e">
        <f>VLOOKUP(A502,'Overall Results'!$B$2:$I$543,9,FALSE)</f>
        <v>#N/A</v>
      </c>
      <c r="D502" t="e">
        <f>VLOOKUP(A502,'Overall Results'!$B$2:$I$543,10,FALSE)</f>
        <v>#N/A</v>
      </c>
      <c r="E502" s="3">
        <v>214.45</v>
      </c>
      <c r="F502" s="3">
        <v>3.9</v>
      </c>
      <c r="G502" s="8" t="e">
        <f>ABS(Table2[[#This Row],[E - FPts]]-Table2[[#This Row],[FPts]])</f>
        <v>#N/A</v>
      </c>
      <c r="H502" s="8" t="e">
        <f>ABS(Table2[[#This Row],[E - FP/G]]-Table2[[#This Row],[FP/G]])</f>
        <v>#N/A</v>
      </c>
    </row>
    <row r="503" spans="1:8" x14ac:dyDescent="0.25">
      <c r="A503" t="s">
        <v>581</v>
      </c>
      <c r="B503" t="s">
        <v>582</v>
      </c>
      <c r="C503" t="e">
        <f>VLOOKUP(A503,'Overall Results'!$B$2:$I$543,9,FALSE)</f>
        <v>#REF!</v>
      </c>
      <c r="D503" t="e">
        <f>VLOOKUP(A503,'Overall Results'!$B$2:$I$543,10,FALSE)</f>
        <v>#REF!</v>
      </c>
      <c r="E503" s="3">
        <v>251.6</v>
      </c>
      <c r="F503" s="3">
        <v>4.0599999999999996</v>
      </c>
      <c r="G503" s="8" t="e">
        <f>ABS(Table2[[#This Row],[E - FPts]]-Table2[[#This Row],[FPts]])</f>
        <v>#REF!</v>
      </c>
      <c r="H503" s="8" t="e">
        <f>ABS(Table2[[#This Row],[E - FP/G]]-Table2[[#This Row],[FP/G]])</f>
        <v>#REF!</v>
      </c>
    </row>
    <row r="504" spans="1:8" x14ac:dyDescent="0.25">
      <c r="A504" t="s">
        <v>291</v>
      </c>
      <c r="B504" t="s">
        <v>292</v>
      </c>
      <c r="C504" t="e">
        <f>VLOOKUP(A504,'Overall Results'!$B$2:$I$543,9,FALSE)</f>
        <v>#REF!</v>
      </c>
      <c r="D504" t="e">
        <f>VLOOKUP(A504,'Overall Results'!$B$2:$I$543,10,FALSE)</f>
        <v>#REF!</v>
      </c>
      <c r="E504" s="3">
        <v>376.65</v>
      </c>
      <c r="F504" s="3">
        <v>4.7699999999999996</v>
      </c>
      <c r="G504" s="8" t="e">
        <f>ABS(Table2[[#This Row],[E - FPts]]-Table2[[#This Row],[FPts]])</f>
        <v>#REF!</v>
      </c>
      <c r="H504" s="8" t="e">
        <f>ABS(Table2[[#This Row],[E - FP/G]]-Table2[[#This Row],[FP/G]])</f>
        <v>#REF!</v>
      </c>
    </row>
    <row r="505" spans="1:8" x14ac:dyDescent="0.25">
      <c r="A505" t="s">
        <v>641</v>
      </c>
      <c r="B505" t="s">
        <v>642</v>
      </c>
      <c r="C505" t="e">
        <f>VLOOKUP(A505,'Overall Results'!$B$2:$I$543,9,FALSE)</f>
        <v>#REF!</v>
      </c>
      <c r="D505" t="e">
        <f>VLOOKUP(A505,'Overall Results'!$B$2:$I$543,10,FALSE)</f>
        <v>#REF!</v>
      </c>
      <c r="E505" s="3">
        <v>283.89999999999998</v>
      </c>
      <c r="F505" s="3">
        <v>3.69</v>
      </c>
      <c r="G505" s="8" t="e">
        <f>ABS(Table2[[#This Row],[E - FPts]]-Table2[[#This Row],[FPts]])</f>
        <v>#REF!</v>
      </c>
      <c r="H505" s="8" t="e">
        <f>ABS(Table2[[#This Row],[E - FP/G]]-Table2[[#This Row],[FP/G]])</f>
        <v>#REF!</v>
      </c>
    </row>
    <row r="506" spans="1:8" x14ac:dyDescent="0.25">
      <c r="A506" t="s">
        <v>901</v>
      </c>
      <c r="B506" t="s">
        <v>902</v>
      </c>
      <c r="C506" t="e">
        <f>VLOOKUP(A506,'Overall Results'!$B$2:$I$543,9,FALSE)</f>
        <v>#REF!</v>
      </c>
      <c r="D506" t="e">
        <f>VLOOKUP(A506,'Overall Results'!$B$2:$I$543,10,FALSE)</f>
        <v>#REF!</v>
      </c>
      <c r="E506" s="3">
        <v>11.95</v>
      </c>
      <c r="F506" s="3">
        <v>2.99</v>
      </c>
      <c r="G506" s="8" t="e">
        <f>ABS(Table2[[#This Row],[E - FPts]]-Table2[[#This Row],[FPts]])</f>
        <v>#REF!</v>
      </c>
      <c r="H506" s="8" t="e">
        <f>ABS(Table2[[#This Row],[E - FP/G]]-Table2[[#This Row],[FP/G]])</f>
        <v>#REF!</v>
      </c>
    </row>
    <row r="507" spans="1:8" x14ac:dyDescent="0.25">
      <c r="A507" t="s">
        <v>58</v>
      </c>
      <c r="B507" t="s">
        <v>59</v>
      </c>
      <c r="C507" t="e">
        <f>VLOOKUP(A507,'Overall Results'!$B$2:$I$543,9,FALSE)</f>
        <v>#REF!</v>
      </c>
      <c r="D507" t="e">
        <f>VLOOKUP(A507,'Overall Results'!$B$2:$I$543,10,FALSE)</f>
        <v>#REF!</v>
      </c>
      <c r="E507" s="3">
        <v>656</v>
      </c>
      <c r="F507" s="3">
        <v>8.1999999999999993</v>
      </c>
      <c r="G507" s="8" t="e">
        <f>ABS(Table2[[#This Row],[E - FPts]]-Table2[[#This Row],[FPts]])</f>
        <v>#REF!</v>
      </c>
      <c r="H507" s="8" t="e">
        <f>ABS(Table2[[#This Row],[E - FP/G]]-Table2[[#This Row],[FP/G]])</f>
        <v>#REF!</v>
      </c>
    </row>
    <row r="508" spans="1:8" x14ac:dyDescent="0.25">
      <c r="A508" t="s">
        <v>1257</v>
      </c>
      <c r="B508" t="s">
        <v>1258</v>
      </c>
      <c r="C508" t="e">
        <f>VLOOKUP(A508,'Overall Results'!$B$2:$I$543,9,FALSE)</f>
        <v>#REF!</v>
      </c>
      <c r="D508" t="e">
        <f>VLOOKUP(A508,'Overall Results'!$B$2:$I$543,10,FALSE)</f>
        <v>#REF!</v>
      </c>
      <c r="E508" s="3">
        <v>152.55000000000001</v>
      </c>
      <c r="F508" s="3">
        <v>2.83</v>
      </c>
      <c r="G508" s="8" t="e">
        <f>ABS(Table2[[#This Row],[E - FPts]]-Table2[[#This Row],[FPts]])</f>
        <v>#REF!</v>
      </c>
      <c r="H508" s="8" t="e">
        <f>ABS(Table2[[#This Row],[E - FP/G]]-Table2[[#This Row],[FP/G]])</f>
        <v>#REF!</v>
      </c>
    </row>
    <row r="509" spans="1:8" x14ac:dyDescent="0.25">
      <c r="A509" t="s">
        <v>1099</v>
      </c>
      <c r="B509" t="s">
        <v>1100</v>
      </c>
      <c r="C509" t="e">
        <f>VLOOKUP(A509,'Overall Results'!$B$2:$I$543,9,FALSE)</f>
        <v>#REF!</v>
      </c>
      <c r="D509" t="e">
        <f>VLOOKUP(A509,'Overall Results'!$B$2:$I$543,10,FALSE)</f>
        <v>#REF!</v>
      </c>
      <c r="E509" s="3">
        <v>157.4</v>
      </c>
      <c r="F509" s="3">
        <v>2.31</v>
      </c>
      <c r="G509" s="8" t="e">
        <f>ABS(Table2[[#This Row],[E - FPts]]-Table2[[#This Row],[FPts]])</f>
        <v>#REF!</v>
      </c>
      <c r="H509" s="8" t="e">
        <f>ABS(Table2[[#This Row],[E - FP/G]]-Table2[[#This Row],[FP/G]])</f>
        <v>#REF!</v>
      </c>
    </row>
    <row r="510" spans="1:8" x14ac:dyDescent="0.25">
      <c r="A510" t="s">
        <v>627</v>
      </c>
      <c r="B510" t="s">
        <v>628</v>
      </c>
      <c r="C510" t="e">
        <f>VLOOKUP(A510,'Overall Results'!$B$2:$I$543,9,FALSE)</f>
        <v>#REF!</v>
      </c>
      <c r="D510" t="e">
        <f>VLOOKUP(A510,'Overall Results'!$B$2:$I$543,10,FALSE)</f>
        <v>#REF!</v>
      </c>
      <c r="E510" s="3">
        <v>296.10000000000002</v>
      </c>
      <c r="F510" s="3">
        <v>3.61</v>
      </c>
      <c r="G510" s="8" t="e">
        <f>ABS(Table2[[#This Row],[E - FPts]]-Table2[[#This Row],[FPts]])</f>
        <v>#REF!</v>
      </c>
      <c r="H510" s="8" t="e">
        <f>ABS(Table2[[#This Row],[E - FP/G]]-Table2[[#This Row],[FP/G]])</f>
        <v>#REF!</v>
      </c>
    </row>
    <row r="511" spans="1:8" x14ac:dyDescent="0.25">
      <c r="A511" t="s">
        <v>1316</v>
      </c>
      <c r="B511" t="s">
        <v>1317</v>
      </c>
      <c r="C511" t="e">
        <f>VLOOKUP(A511,'Overall Results'!$B$2:$I$543,9,FALSE)</f>
        <v>#N/A</v>
      </c>
      <c r="D511" t="e">
        <f>VLOOKUP(A511,'Overall Results'!$B$2:$I$543,10,FALSE)</f>
        <v>#N/A</v>
      </c>
      <c r="E511" s="3">
        <v>71.650000000000006</v>
      </c>
      <c r="F511" s="3">
        <v>2.17</v>
      </c>
      <c r="G511" s="8" t="e">
        <f>ABS(Table2[[#This Row],[E - FPts]]-Table2[[#This Row],[FPts]])</f>
        <v>#N/A</v>
      </c>
      <c r="H511" s="8" t="e">
        <f>ABS(Table2[[#This Row],[E - FP/G]]-Table2[[#This Row],[FP/G]])</f>
        <v>#N/A</v>
      </c>
    </row>
    <row r="512" spans="1:8" x14ac:dyDescent="0.25">
      <c r="A512" t="s">
        <v>527</v>
      </c>
      <c r="B512" t="s">
        <v>528</v>
      </c>
      <c r="C512" t="e">
        <f>VLOOKUP(A512,'Overall Results'!$B$2:$I$543,9,FALSE)</f>
        <v>#REF!</v>
      </c>
      <c r="D512" t="e">
        <f>VLOOKUP(A512,'Overall Results'!$B$2:$I$543,10,FALSE)</f>
        <v>#REF!</v>
      </c>
      <c r="E512" s="3">
        <v>294.60000000000002</v>
      </c>
      <c r="F512" s="3">
        <v>4.04</v>
      </c>
      <c r="G512" s="8" t="e">
        <f>ABS(Table2[[#This Row],[E - FPts]]-Table2[[#This Row],[FPts]])</f>
        <v>#REF!</v>
      </c>
      <c r="H512" s="8" t="e">
        <f>ABS(Table2[[#This Row],[E - FP/G]]-Table2[[#This Row],[FP/G]])</f>
        <v>#REF!</v>
      </c>
    </row>
    <row r="513" spans="1:8" x14ac:dyDescent="0.25">
      <c r="A513" t="s">
        <v>240</v>
      </c>
      <c r="B513" t="s">
        <v>241</v>
      </c>
      <c r="C513" t="e">
        <f>VLOOKUP(A513,'Overall Results'!$B$2:$I$543,9,FALSE)</f>
        <v>#REF!</v>
      </c>
      <c r="D513" t="e">
        <f>VLOOKUP(A513,'Overall Results'!$B$2:$I$543,10,FALSE)</f>
        <v>#REF!</v>
      </c>
      <c r="E513" s="3">
        <v>356.25</v>
      </c>
      <c r="F513" s="3">
        <v>6.14</v>
      </c>
      <c r="G513" s="8" t="e">
        <f>ABS(Table2[[#This Row],[E - FPts]]-Table2[[#This Row],[FPts]])</f>
        <v>#REF!</v>
      </c>
      <c r="H513" s="8" t="e">
        <f>ABS(Table2[[#This Row],[E - FP/G]]-Table2[[#This Row],[FP/G]])</f>
        <v>#REF!</v>
      </c>
    </row>
    <row r="514" spans="1:8" x14ac:dyDescent="0.25">
      <c r="A514" t="s">
        <v>439</v>
      </c>
      <c r="B514" t="s">
        <v>440</v>
      </c>
      <c r="C514" t="e">
        <f>VLOOKUP(A514,'Overall Results'!$B$2:$I$543,9,FALSE)</f>
        <v>#REF!</v>
      </c>
      <c r="D514" t="e">
        <f>VLOOKUP(A514,'Overall Results'!$B$2:$I$543,10,FALSE)</f>
        <v>#REF!</v>
      </c>
      <c r="E514" s="3">
        <v>381.6</v>
      </c>
      <c r="F514" s="3">
        <v>4.6500000000000004</v>
      </c>
      <c r="G514" s="8" t="e">
        <f>ABS(Table2[[#This Row],[E - FPts]]-Table2[[#This Row],[FPts]])</f>
        <v>#REF!</v>
      </c>
      <c r="H514" s="8" t="e">
        <f>ABS(Table2[[#This Row],[E - FP/G]]-Table2[[#This Row],[FP/G]])</f>
        <v>#REF!</v>
      </c>
    </row>
    <row r="515" spans="1:8" x14ac:dyDescent="0.25">
      <c r="A515" t="s">
        <v>431</v>
      </c>
      <c r="B515" t="s">
        <v>432</v>
      </c>
      <c r="C515" t="e">
        <f>VLOOKUP(A515,'Overall Results'!$B$2:$I$543,9,FALSE)</f>
        <v>#REF!</v>
      </c>
      <c r="D515" t="e">
        <f>VLOOKUP(A515,'Overall Results'!$B$2:$I$543,10,FALSE)</f>
        <v>#REF!</v>
      </c>
      <c r="E515" s="3">
        <v>333.8</v>
      </c>
      <c r="F515" s="3">
        <v>4.57</v>
      </c>
      <c r="G515" s="8" t="e">
        <f>ABS(Table2[[#This Row],[E - FPts]]-Table2[[#This Row],[FPts]])</f>
        <v>#REF!</v>
      </c>
      <c r="H515" s="8" t="e">
        <f>ABS(Table2[[#This Row],[E - FP/G]]-Table2[[#This Row],[FP/G]])</f>
        <v>#REF!</v>
      </c>
    </row>
    <row r="516" spans="1:8" x14ac:dyDescent="0.25">
      <c r="A516" t="s">
        <v>1069</v>
      </c>
      <c r="B516" t="s">
        <v>1070</v>
      </c>
      <c r="C516" t="e">
        <f>VLOOKUP(A516,'Overall Results'!$B$2:$I$543,9,FALSE)</f>
        <v>#N/A</v>
      </c>
      <c r="D516" t="e">
        <f>VLOOKUP(A516,'Overall Results'!$B$2:$I$543,10,FALSE)</f>
        <v>#N/A</v>
      </c>
      <c r="E516" s="3">
        <v>89.95</v>
      </c>
      <c r="F516" s="3">
        <v>2.5</v>
      </c>
      <c r="G516" s="8" t="e">
        <f>ABS(Table2[[#This Row],[E - FPts]]-Table2[[#This Row],[FPts]])</f>
        <v>#N/A</v>
      </c>
      <c r="H516" s="8" t="e">
        <f>ABS(Table2[[#This Row],[E - FP/G]]-Table2[[#This Row],[FP/G]])</f>
        <v>#N/A</v>
      </c>
    </row>
    <row r="517" spans="1:8" x14ac:dyDescent="0.25">
      <c r="A517" t="s">
        <v>287</v>
      </c>
      <c r="B517" t="s">
        <v>288</v>
      </c>
      <c r="C517" t="e">
        <f>VLOOKUP(A517,'Overall Results'!$B$2:$I$543,9,FALSE)</f>
        <v>#REF!</v>
      </c>
      <c r="D517" t="e">
        <f>VLOOKUP(A517,'Overall Results'!$B$2:$I$543,10,FALSE)</f>
        <v>#REF!</v>
      </c>
      <c r="E517" s="3">
        <v>587.25</v>
      </c>
      <c r="F517" s="3">
        <v>7.25</v>
      </c>
      <c r="G517" s="8" t="e">
        <f>ABS(Table2[[#This Row],[E - FPts]]-Table2[[#This Row],[FPts]])</f>
        <v>#REF!</v>
      </c>
      <c r="H517" s="8" t="e">
        <f>ABS(Table2[[#This Row],[E - FP/G]]-Table2[[#This Row],[FP/G]])</f>
        <v>#REF!</v>
      </c>
    </row>
    <row r="518" spans="1:8" x14ac:dyDescent="0.25">
      <c r="A518" t="s">
        <v>1277</v>
      </c>
      <c r="B518" t="s">
        <v>1278</v>
      </c>
      <c r="C518" t="e">
        <f>VLOOKUP(A518,'Overall Results'!$B$2:$I$543,9,FALSE)</f>
        <v>#N/A</v>
      </c>
      <c r="D518" t="e">
        <f>VLOOKUP(A518,'Overall Results'!$B$2:$I$543,10,FALSE)</f>
        <v>#N/A</v>
      </c>
      <c r="E518" s="3">
        <v>31.2</v>
      </c>
      <c r="F518" s="3">
        <v>2.4</v>
      </c>
      <c r="G518" s="8" t="e">
        <f>ABS(Table2[[#This Row],[E - FPts]]-Table2[[#This Row],[FPts]])</f>
        <v>#N/A</v>
      </c>
      <c r="H518" s="8" t="e">
        <f>ABS(Table2[[#This Row],[E - FP/G]]-Table2[[#This Row],[FP/G]])</f>
        <v>#N/A</v>
      </c>
    </row>
    <row r="519" spans="1:8" x14ac:dyDescent="0.25">
      <c r="A519" t="s">
        <v>571</v>
      </c>
      <c r="B519" t="s">
        <v>572</v>
      </c>
      <c r="C519" t="e">
        <f>VLOOKUP(A519,'Overall Results'!$B$2:$I$543,9,FALSE)</f>
        <v>#REF!</v>
      </c>
      <c r="D519" t="e">
        <f>VLOOKUP(A519,'Overall Results'!$B$2:$I$543,10,FALSE)</f>
        <v>#REF!</v>
      </c>
      <c r="E519" s="3">
        <v>245.75</v>
      </c>
      <c r="F519" s="3">
        <v>4.24</v>
      </c>
      <c r="G519" s="8" t="e">
        <f>ABS(Table2[[#This Row],[E - FPts]]-Table2[[#This Row],[FPts]])</f>
        <v>#REF!</v>
      </c>
      <c r="H519" s="8" t="e">
        <f>ABS(Table2[[#This Row],[E - FP/G]]-Table2[[#This Row],[FP/G]])</f>
        <v>#REF!</v>
      </c>
    </row>
    <row r="520" spans="1:8" x14ac:dyDescent="0.25">
      <c r="A520" t="s">
        <v>1083</v>
      </c>
      <c r="B520" t="s">
        <v>1084</v>
      </c>
      <c r="C520" t="e">
        <f>VLOOKUP(A520,'Overall Results'!$B$2:$I$543,9,FALSE)</f>
        <v>#N/A</v>
      </c>
      <c r="D520" t="e">
        <f>VLOOKUP(A520,'Overall Results'!$B$2:$I$543,10,FALSE)</f>
        <v>#N/A</v>
      </c>
      <c r="E520" s="3">
        <v>131.5</v>
      </c>
      <c r="F520" s="3">
        <v>2.44</v>
      </c>
      <c r="G520" s="8" t="e">
        <f>ABS(Table2[[#This Row],[E - FPts]]-Table2[[#This Row],[FPts]])</f>
        <v>#N/A</v>
      </c>
      <c r="H520" s="8" t="e">
        <f>ABS(Table2[[#This Row],[E - FP/G]]-Table2[[#This Row],[FP/G]])</f>
        <v>#N/A</v>
      </c>
    </row>
    <row r="521" spans="1:8" x14ac:dyDescent="0.25">
      <c r="A521" t="s">
        <v>547</v>
      </c>
      <c r="B521" t="s">
        <v>548</v>
      </c>
      <c r="C521" t="e">
        <f>VLOOKUP(A521,'Overall Results'!$B$2:$I$543,9,FALSE)</f>
        <v>#REF!</v>
      </c>
      <c r="D521" t="e">
        <f>VLOOKUP(A521,'Overall Results'!$B$2:$I$543,10,FALSE)</f>
        <v>#REF!</v>
      </c>
      <c r="E521" s="3">
        <v>333.35</v>
      </c>
      <c r="F521" s="3">
        <v>4.07</v>
      </c>
      <c r="G521" s="8" t="e">
        <f>ABS(Table2[[#This Row],[E - FPts]]-Table2[[#This Row],[FPts]])</f>
        <v>#REF!</v>
      </c>
      <c r="H521" s="8" t="e">
        <f>ABS(Table2[[#This Row],[E - FP/G]]-Table2[[#This Row],[FP/G]])</f>
        <v>#REF!</v>
      </c>
    </row>
    <row r="522" spans="1:8" x14ac:dyDescent="0.25">
      <c r="A522" t="s">
        <v>1095</v>
      </c>
      <c r="B522" t="s">
        <v>1096</v>
      </c>
      <c r="C522" t="e">
        <f>VLOOKUP(A522,'Overall Results'!$B$2:$I$543,9,FALSE)</f>
        <v>#N/A</v>
      </c>
      <c r="D522" t="e">
        <f>VLOOKUP(A522,'Overall Results'!$B$2:$I$543,10,FALSE)</f>
        <v>#N/A</v>
      </c>
      <c r="E522" s="3">
        <v>114.2</v>
      </c>
      <c r="F522" s="3">
        <v>2.54</v>
      </c>
      <c r="G522" s="8" t="e">
        <f>ABS(Table2[[#This Row],[E - FPts]]-Table2[[#This Row],[FPts]])</f>
        <v>#N/A</v>
      </c>
      <c r="H522" s="8" t="e">
        <f>ABS(Table2[[#This Row],[E - FP/G]]-Table2[[#This Row],[FP/G]])</f>
        <v>#N/A</v>
      </c>
    </row>
    <row r="523" spans="1:8" x14ac:dyDescent="0.25">
      <c r="A523" t="s">
        <v>491</v>
      </c>
      <c r="B523" t="s">
        <v>492</v>
      </c>
      <c r="C523" t="e">
        <f>VLOOKUP(A523,'Overall Results'!$B$2:$I$543,9,FALSE)</f>
        <v>#REF!</v>
      </c>
      <c r="D523" t="e">
        <f>VLOOKUP(A523,'Overall Results'!$B$2:$I$543,10,FALSE)</f>
        <v>#REF!</v>
      </c>
      <c r="E523" s="3">
        <v>337.55</v>
      </c>
      <c r="F523" s="3">
        <v>4.12</v>
      </c>
      <c r="G523" s="8" t="e">
        <f>ABS(Table2[[#This Row],[E - FPts]]-Table2[[#This Row],[FPts]])</f>
        <v>#REF!</v>
      </c>
      <c r="H523" s="8" t="e">
        <f>ABS(Table2[[#This Row],[E - FP/G]]-Table2[[#This Row],[FP/G]])</f>
        <v>#REF!</v>
      </c>
    </row>
    <row r="524" spans="1:8" x14ac:dyDescent="0.25">
      <c r="A524" t="s">
        <v>877</v>
      </c>
      <c r="B524" t="s">
        <v>878</v>
      </c>
      <c r="C524" t="e">
        <f>VLOOKUP(A524,'Overall Results'!$B$2:$I$543,9,FALSE)</f>
        <v>#REF!</v>
      </c>
      <c r="D524" t="e">
        <f>VLOOKUP(A524,'Overall Results'!$B$2:$I$543,10,FALSE)</f>
        <v>#REF!</v>
      </c>
      <c r="E524" s="3">
        <v>81.5</v>
      </c>
      <c r="F524" s="3">
        <v>3.26</v>
      </c>
      <c r="G524" s="8" t="e">
        <f>ABS(Table2[[#This Row],[E - FPts]]-Table2[[#This Row],[FPts]])</f>
        <v>#REF!</v>
      </c>
      <c r="H524" s="8" t="e">
        <f>ABS(Table2[[#This Row],[E - FP/G]]-Table2[[#This Row],[FP/G]])</f>
        <v>#REF!</v>
      </c>
    </row>
    <row r="525" spans="1:8" x14ac:dyDescent="0.25">
      <c r="A525" t="s">
        <v>675</v>
      </c>
      <c r="B525" t="s">
        <v>676</v>
      </c>
      <c r="C525" t="e">
        <f>VLOOKUP(A525,'Overall Results'!$B$2:$I$543,9,FALSE)</f>
        <v>#N/A</v>
      </c>
      <c r="D525" t="e">
        <f>VLOOKUP(A525,'Overall Results'!$B$2:$I$543,10,FALSE)</f>
        <v>#N/A</v>
      </c>
      <c r="E525" s="3">
        <v>231.75</v>
      </c>
      <c r="F525" s="3">
        <v>4.46</v>
      </c>
      <c r="G525" s="8" t="e">
        <f>ABS(Table2[[#This Row],[E - FPts]]-Table2[[#This Row],[FPts]])</f>
        <v>#N/A</v>
      </c>
      <c r="H525" s="8" t="e">
        <f>ABS(Table2[[#This Row],[E - FP/G]]-Table2[[#This Row],[FP/G]])</f>
        <v>#N/A</v>
      </c>
    </row>
    <row r="526" spans="1:8" x14ac:dyDescent="0.25">
      <c r="A526" t="s">
        <v>1324</v>
      </c>
      <c r="B526" t="s">
        <v>1325</v>
      </c>
      <c r="C526" t="e">
        <f>VLOOKUP(A526,'Overall Results'!$B$2:$I$543,9,FALSE)</f>
        <v>#N/A</v>
      </c>
      <c r="D526" t="e">
        <f>VLOOKUP(A526,'Overall Results'!$B$2:$I$543,10,FALSE)</f>
        <v>#N/A</v>
      </c>
      <c r="E526" s="3">
        <v>121.15</v>
      </c>
      <c r="F526" s="3">
        <v>2.95</v>
      </c>
      <c r="G526" s="8" t="e">
        <f>ABS(Table2[[#This Row],[E - FPts]]-Table2[[#This Row],[FPts]])</f>
        <v>#N/A</v>
      </c>
      <c r="H526" s="8" t="e">
        <f>ABS(Table2[[#This Row],[E - FP/G]]-Table2[[#This Row],[FP/G]])</f>
        <v>#N/A</v>
      </c>
    </row>
    <row r="527" spans="1:8" x14ac:dyDescent="0.25">
      <c r="A527" t="s">
        <v>795</v>
      </c>
      <c r="B527" t="s">
        <v>796</v>
      </c>
      <c r="C527" t="e">
        <f>VLOOKUP(A527,'Overall Results'!$B$2:$I$543,9,FALSE)</f>
        <v>#REF!</v>
      </c>
      <c r="D527" t="e">
        <f>VLOOKUP(A527,'Overall Results'!$B$2:$I$543,10,FALSE)</f>
        <v>#REF!</v>
      </c>
      <c r="E527" s="3">
        <v>295.55</v>
      </c>
      <c r="F527" s="3">
        <v>3.84</v>
      </c>
      <c r="G527" s="8" t="e">
        <f>ABS(Table2[[#This Row],[E - FPts]]-Table2[[#This Row],[FPts]])</f>
        <v>#REF!</v>
      </c>
      <c r="H527" s="8" t="e">
        <f>ABS(Table2[[#This Row],[E - FP/G]]-Table2[[#This Row],[FP/G]])</f>
        <v>#REF!</v>
      </c>
    </row>
    <row r="528" spans="1:8" x14ac:dyDescent="0.25">
      <c r="A528" t="s">
        <v>1113</v>
      </c>
      <c r="B528" t="s">
        <v>1114</v>
      </c>
      <c r="C528" t="e">
        <f>VLOOKUP(A528,'Overall Results'!$B$2:$I$543,9,FALSE)</f>
        <v>#N/A</v>
      </c>
      <c r="D528" t="e">
        <f>VLOOKUP(A528,'Overall Results'!$B$2:$I$543,10,FALSE)</f>
        <v>#N/A</v>
      </c>
      <c r="E528" s="3">
        <v>2.4500000000000002</v>
      </c>
      <c r="F528" s="3">
        <v>2.4500000000000002</v>
      </c>
      <c r="G528" s="8" t="e">
        <f>ABS(Table2[[#This Row],[E - FPts]]-Table2[[#This Row],[FPts]])</f>
        <v>#N/A</v>
      </c>
      <c r="H528" s="8" t="e">
        <f>ABS(Table2[[#This Row],[E - FP/G]]-Table2[[#This Row],[FP/G]])</f>
        <v>#N/A</v>
      </c>
    </row>
    <row r="529" spans="1:8" x14ac:dyDescent="0.25">
      <c r="A529" t="s">
        <v>645</v>
      </c>
      <c r="B529" t="s">
        <v>646</v>
      </c>
      <c r="C529" t="e">
        <f>VLOOKUP(A529,'Overall Results'!$B$2:$I$543,9,FALSE)</f>
        <v>#REF!</v>
      </c>
      <c r="D529" t="e">
        <f>VLOOKUP(A529,'Overall Results'!$B$2:$I$543,10,FALSE)</f>
        <v>#REF!</v>
      </c>
      <c r="E529" s="3">
        <v>309.95</v>
      </c>
      <c r="F529" s="3">
        <v>3.78</v>
      </c>
      <c r="G529" s="8" t="e">
        <f>ABS(Table2[[#This Row],[E - FPts]]-Table2[[#This Row],[FPts]])</f>
        <v>#REF!</v>
      </c>
      <c r="H529" s="8" t="e">
        <f>ABS(Table2[[#This Row],[E - FP/G]]-Table2[[#This Row],[FP/G]])</f>
        <v>#REF!</v>
      </c>
    </row>
    <row r="530" spans="1:8" x14ac:dyDescent="0.25">
      <c r="A530" t="s">
        <v>411</v>
      </c>
      <c r="B530" t="s">
        <v>412</v>
      </c>
      <c r="C530" t="e">
        <f>VLOOKUP(A530,'Overall Results'!$B$2:$I$543,9,FALSE)</f>
        <v>#REF!</v>
      </c>
      <c r="D530" t="e">
        <f>VLOOKUP(A530,'Overall Results'!$B$2:$I$543,10,FALSE)</f>
        <v>#REF!</v>
      </c>
      <c r="E530" s="3">
        <v>401.75</v>
      </c>
      <c r="F530" s="3">
        <v>4.96</v>
      </c>
      <c r="G530" s="8" t="e">
        <f>ABS(Table2[[#This Row],[E - FPts]]-Table2[[#This Row],[FPts]])</f>
        <v>#REF!</v>
      </c>
      <c r="H530" s="8" t="e">
        <f>ABS(Table2[[#This Row],[E - FP/G]]-Table2[[#This Row],[FP/G]])</f>
        <v>#REF!</v>
      </c>
    </row>
    <row r="531" spans="1:8" x14ac:dyDescent="0.25">
      <c r="A531" t="s">
        <v>555</v>
      </c>
      <c r="B531" t="s">
        <v>556</v>
      </c>
      <c r="C531" t="e">
        <f>VLOOKUP(A531,'Overall Results'!$B$2:$I$543,9,FALSE)</f>
        <v>#REF!</v>
      </c>
      <c r="D531" t="e">
        <f>VLOOKUP(A531,'Overall Results'!$B$2:$I$543,10,FALSE)</f>
        <v>#REF!</v>
      </c>
      <c r="E531" s="3">
        <v>329.6</v>
      </c>
      <c r="F531" s="3">
        <v>4.45</v>
      </c>
      <c r="G531" s="8" t="e">
        <f>ABS(Table2[[#This Row],[E - FPts]]-Table2[[#This Row],[FPts]])</f>
        <v>#REF!</v>
      </c>
      <c r="H531" s="8" t="e">
        <f>ABS(Table2[[#This Row],[E - FP/G]]-Table2[[#This Row],[FP/G]])</f>
        <v>#REF!</v>
      </c>
    </row>
    <row r="532" spans="1:8" x14ac:dyDescent="0.25">
      <c r="A532" t="s">
        <v>389</v>
      </c>
      <c r="B532" t="s">
        <v>390</v>
      </c>
      <c r="C532" t="e">
        <f>VLOOKUP(A532,'Overall Results'!$B$2:$I$543,9,FALSE)</f>
        <v>#REF!</v>
      </c>
      <c r="D532" t="e">
        <f>VLOOKUP(A532,'Overall Results'!$B$2:$I$543,10,FALSE)</f>
        <v>#REF!</v>
      </c>
      <c r="E532" s="3">
        <v>10.85</v>
      </c>
      <c r="F532" s="3">
        <v>5.42</v>
      </c>
      <c r="G532" s="8" t="e">
        <f>ABS(Table2[[#This Row],[E - FPts]]-Table2[[#This Row],[FPts]])</f>
        <v>#REF!</v>
      </c>
      <c r="H532" s="8" t="e">
        <f>ABS(Table2[[#This Row],[E - FP/G]]-Table2[[#This Row],[FP/G]])</f>
        <v>#REF!</v>
      </c>
    </row>
    <row r="533" spans="1:8" x14ac:dyDescent="0.25">
      <c r="A533" t="s">
        <v>1332</v>
      </c>
      <c r="B533" t="s">
        <v>1333</v>
      </c>
      <c r="C533" t="e">
        <f>VLOOKUP(A533,'Overall Results'!$B$2:$I$543,9,FALSE)</f>
        <v>#N/A</v>
      </c>
      <c r="D533" t="e">
        <f>VLOOKUP(A533,'Overall Results'!$B$2:$I$543,10,FALSE)</f>
        <v>#N/A</v>
      </c>
      <c r="E533" s="3">
        <v>102.35</v>
      </c>
      <c r="F533" s="3">
        <v>2.0499999999999998</v>
      </c>
      <c r="G533" s="8" t="e">
        <f>ABS(Table2[[#This Row],[E - FPts]]-Table2[[#This Row],[FPts]])</f>
        <v>#N/A</v>
      </c>
      <c r="H533" s="8" t="e">
        <f>ABS(Table2[[#This Row],[E - FP/G]]-Table2[[#This Row],[FP/G]])</f>
        <v>#N/A</v>
      </c>
    </row>
    <row r="534" spans="1:8" x14ac:dyDescent="0.25">
      <c r="A534" t="s">
        <v>355</v>
      </c>
      <c r="B534" t="s">
        <v>356</v>
      </c>
      <c r="C534" t="e">
        <f>VLOOKUP(A534,'Overall Results'!$B$2:$I$543,9,FALSE)</f>
        <v>#REF!</v>
      </c>
      <c r="D534" t="e">
        <f>VLOOKUP(A534,'Overall Results'!$B$2:$I$543,10,FALSE)</f>
        <v>#REF!</v>
      </c>
      <c r="E534" s="3">
        <v>266.25</v>
      </c>
      <c r="F534" s="3">
        <v>5.33</v>
      </c>
      <c r="G534" s="8" t="e">
        <f>ABS(Table2[[#This Row],[E - FPts]]-Table2[[#This Row],[FPts]])</f>
        <v>#REF!</v>
      </c>
      <c r="H534" s="8" t="e">
        <f>ABS(Table2[[#This Row],[E - FP/G]]-Table2[[#This Row],[FP/G]])</f>
        <v>#REF!</v>
      </c>
    </row>
    <row r="535" spans="1:8" x14ac:dyDescent="0.25">
      <c r="A535" t="s">
        <v>791</v>
      </c>
      <c r="B535" t="s">
        <v>792</v>
      </c>
      <c r="C535" t="e">
        <f>VLOOKUP(A535,'Overall Results'!$B$2:$I$543,9,FALSE)</f>
        <v>#N/A</v>
      </c>
      <c r="D535" t="e">
        <f>VLOOKUP(A535,'Overall Results'!$B$2:$I$543,10,FALSE)</f>
        <v>#N/A</v>
      </c>
      <c r="E535" s="3">
        <v>262.39999999999998</v>
      </c>
      <c r="F535" s="3">
        <v>3.92</v>
      </c>
      <c r="G535" s="8" t="e">
        <f>ABS(Table2[[#This Row],[E - FPts]]-Table2[[#This Row],[FPts]])</f>
        <v>#N/A</v>
      </c>
      <c r="H535" s="8" t="e">
        <f>ABS(Table2[[#This Row],[E - FP/G]]-Table2[[#This Row],[FP/G]])</f>
        <v>#N/A</v>
      </c>
    </row>
    <row r="536" spans="1:8" x14ac:dyDescent="0.25">
      <c r="A536" t="s">
        <v>699</v>
      </c>
      <c r="B536" t="s">
        <v>700</v>
      </c>
      <c r="C536" t="e">
        <f>VLOOKUP(A536,'Overall Results'!$B$2:$I$543,9,FALSE)</f>
        <v>#REF!</v>
      </c>
      <c r="D536" t="e">
        <f>VLOOKUP(A536,'Overall Results'!$B$2:$I$543,10,FALSE)</f>
        <v>#REF!</v>
      </c>
      <c r="E536" s="3">
        <v>332.05</v>
      </c>
      <c r="F536" s="3">
        <v>4.05</v>
      </c>
      <c r="G536" s="8" t="e">
        <f>ABS(Table2[[#This Row],[E - FPts]]-Table2[[#This Row],[FPts]])</f>
        <v>#REF!</v>
      </c>
      <c r="H536" s="8" t="e">
        <f>ABS(Table2[[#This Row],[E - FP/G]]-Table2[[#This Row],[FP/G]])</f>
        <v>#REF!</v>
      </c>
    </row>
    <row r="537" spans="1:8" x14ac:dyDescent="0.25">
      <c r="A537" t="s">
        <v>1007</v>
      </c>
      <c r="B537" t="s">
        <v>1008</v>
      </c>
      <c r="C537" t="e">
        <f>VLOOKUP(A537,'Overall Results'!$B$2:$I$543,9,FALSE)</f>
        <v>#N/A</v>
      </c>
      <c r="D537" t="e">
        <f>VLOOKUP(A537,'Overall Results'!$B$2:$I$543,10,FALSE)</f>
        <v>#N/A</v>
      </c>
      <c r="E537" s="3">
        <v>144.65</v>
      </c>
      <c r="F537" s="3">
        <v>2.78</v>
      </c>
      <c r="G537" s="8" t="e">
        <f>ABS(Table2[[#This Row],[E - FPts]]-Table2[[#This Row],[FPts]])</f>
        <v>#N/A</v>
      </c>
      <c r="H537" s="8" t="e">
        <f>ABS(Table2[[#This Row],[E - FP/G]]-Table2[[#This Row],[FP/G]])</f>
        <v>#N/A</v>
      </c>
    </row>
    <row r="538" spans="1:8" x14ac:dyDescent="0.25">
      <c r="A538" t="s">
        <v>741</v>
      </c>
      <c r="B538" t="s">
        <v>742</v>
      </c>
      <c r="C538" t="e">
        <f>VLOOKUP(A538,'Overall Results'!$B$2:$I$543,9,FALSE)</f>
        <v>#REF!</v>
      </c>
      <c r="D538" t="e">
        <f>VLOOKUP(A538,'Overall Results'!$B$2:$I$543,10,FALSE)</f>
        <v>#REF!</v>
      </c>
      <c r="E538" s="3">
        <v>302.3</v>
      </c>
      <c r="F538" s="3">
        <v>3.69</v>
      </c>
      <c r="G538" s="8" t="e">
        <f>ABS(Table2[[#This Row],[E - FPts]]-Table2[[#This Row],[FPts]])</f>
        <v>#REF!</v>
      </c>
      <c r="H538" s="8" t="e">
        <f>ABS(Table2[[#This Row],[E - FP/G]]-Table2[[#This Row],[FP/G]])</f>
        <v>#REF!</v>
      </c>
    </row>
    <row r="539" spans="1:8" x14ac:dyDescent="0.25">
      <c r="A539" t="s">
        <v>1217</v>
      </c>
      <c r="B539" t="s">
        <v>1218</v>
      </c>
      <c r="C539" t="e">
        <f>VLOOKUP(A539,'Overall Results'!$B$2:$I$543,9,FALSE)</f>
        <v>#N/A</v>
      </c>
      <c r="D539" t="e">
        <f>VLOOKUP(A539,'Overall Results'!$B$2:$I$543,10,FALSE)</f>
        <v>#N/A</v>
      </c>
      <c r="E539" s="3">
        <v>137.4</v>
      </c>
      <c r="F539" s="3">
        <v>2.5</v>
      </c>
      <c r="G539" s="8" t="e">
        <f>ABS(Table2[[#This Row],[E - FPts]]-Table2[[#This Row],[FPts]])</f>
        <v>#N/A</v>
      </c>
      <c r="H539" s="8" t="e">
        <f>ABS(Table2[[#This Row],[E - FP/G]]-Table2[[#This Row],[FP/G]])</f>
        <v>#N/A</v>
      </c>
    </row>
    <row r="540" spans="1:8" x14ac:dyDescent="0.25">
      <c r="A540" t="s">
        <v>1035</v>
      </c>
      <c r="B540" t="s">
        <v>1036</v>
      </c>
      <c r="C540" t="e">
        <f>VLOOKUP(A540,'Overall Results'!$B$2:$I$543,9,FALSE)</f>
        <v>#REF!</v>
      </c>
      <c r="D540" t="e">
        <f>VLOOKUP(A540,'Overall Results'!$B$2:$I$543,10,FALSE)</f>
        <v>#REF!</v>
      </c>
      <c r="E540" s="3">
        <v>234.9</v>
      </c>
      <c r="F540" s="3">
        <v>3.36</v>
      </c>
      <c r="G540" s="8" t="e">
        <f>ABS(Table2[[#This Row],[E - FPts]]-Table2[[#This Row],[FPts]])</f>
        <v>#REF!</v>
      </c>
      <c r="H540" s="8" t="e">
        <f>ABS(Table2[[#This Row],[E - FP/G]]-Table2[[#This Row],[FP/G]])</f>
        <v>#REF!</v>
      </c>
    </row>
    <row r="541" spans="1:8" x14ac:dyDescent="0.25">
      <c r="A541" t="s">
        <v>1291</v>
      </c>
      <c r="B541" t="s">
        <v>1292</v>
      </c>
      <c r="C541" t="e">
        <f>VLOOKUP(A541,'Overall Results'!$B$2:$I$543,9,FALSE)</f>
        <v>#N/A</v>
      </c>
      <c r="D541" t="e">
        <f>VLOOKUP(A541,'Overall Results'!$B$2:$I$543,10,FALSE)</f>
        <v>#N/A</v>
      </c>
      <c r="E541" s="3">
        <v>104.65</v>
      </c>
      <c r="F541" s="3">
        <v>2.2799999999999998</v>
      </c>
      <c r="G541" s="8" t="e">
        <f>ABS(Table2[[#This Row],[E - FPts]]-Table2[[#This Row],[FPts]])</f>
        <v>#N/A</v>
      </c>
      <c r="H541" s="8" t="e">
        <f>ABS(Table2[[#This Row],[E - FP/G]]-Table2[[#This Row],[FP/G]])</f>
        <v>#N/A</v>
      </c>
    </row>
    <row r="542" spans="1:8" x14ac:dyDescent="0.25">
      <c r="A542" t="s">
        <v>1009</v>
      </c>
      <c r="B542" t="s">
        <v>1010</v>
      </c>
      <c r="C542" t="e">
        <f>VLOOKUP(A542,'Overall Results'!$B$2:$I$543,9,FALSE)</f>
        <v>#REF!</v>
      </c>
      <c r="D542" t="e">
        <f>VLOOKUP(A542,'Overall Results'!$B$2:$I$543,10,FALSE)</f>
        <v>#REF!</v>
      </c>
      <c r="E542" s="3">
        <v>185.35</v>
      </c>
      <c r="F542" s="3">
        <v>2.85</v>
      </c>
      <c r="G542" s="8" t="e">
        <f>ABS(Table2[[#This Row],[E - FPts]]-Table2[[#This Row],[FPts]])</f>
        <v>#REF!</v>
      </c>
      <c r="H542" s="8" t="e">
        <f>ABS(Table2[[#This Row],[E - FP/G]]-Table2[[#This Row],[FP/G]])</f>
        <v>#REF!</v>
      </c>
    </row>
    <row r="543" spans="1:8" x14ac:dyDescent="0.25">
      <c r="A543" t="s">
        <v>485</v>
      </c>
      <c r="B543" t="s">
        <v>486</v>
      </c>
      <c r="C543" t="e">
        <f>VLOOKUP(A543,'Overall Results'!$B$2:$I$543,9,FALSE)</f>
        <v>#REF!</v>
      </c>
      <c r="D543" t="e">
        <f>VLOOKUP(A543,'Overall Results'!$B$2:$I$543,10,FALSE)</f>
        <v>#REF!</v>
      </c>
      <c r="E543" s="3">
        <v>367.05</v>
      </c>
      <c r="F543" s="3">
        <v>4.4800000000000004</v>
      </c>
      <c r="G543" s="8" t="e">
        <f>ABS(Table2[[#This Row],[E - FPts]]-Table2[[#This Row],[FPts]])</f>
        <v>#REF!</v>
      </c>
      <c r="H543" s="8" t="e">
        <f>ABS(Table2[[#This Row],[E - FP/G]]-Table2[[#This Row],[FP/G]])</f>
        <v>#REF!</v>
      </c>
    </row>
    <row r="544" spans="1:8" x14ac:dyDescent="0.25">
      <c r="A544" t="s">
        <v>90</v>
      </c>
      <c r="B544" t="s">
        <v>91</v>
      </c>
      <c r="C544" t="e">
        <f>VLOOKUP(A544,'Overall Results'!$B$2:$I$543,9,FALSE)</f>
        <v>#REF!</v>
      </c>
      <c r="D544" t="e">
        <f>VLOOKUP(A544,'Overall Results'!$B$2:$I$543,10,FALSE)</f>
        <v>#REF!</v>
      </c>
      <c r="E544" s="3">
        <v>540.35</v>
      </c>
      <c r="F544" s="3">
        <v>7.83</v>
      </c>
      <c r="G544" s="8" t="e">
        <f>ABS(Table2[[#This Row],[E - FPts]]-Table2[[#This Row],[FPts]])</f>
        <v>#REF!</v>
      </c>
      <c r="H544" s="8" t="e">
        <f>ABS(Table2[[#This Row],[E - FP/G]]-Table2[[#This Row],[FP/G]])</f>
        <v>#REF!</v>
      </c>
    </row>
    <row r="545" spans="1:8" x14ac:dyDescent="0.25">
      <c r="A545" t="s">
        <v>22</v>
      </c>
      <c r="B545" t="s">
        <v>23</v>
      </c>
      <c r="C545" t="e">
        <f>VLOOKUP(A545,'Overall Results'!$B$2:$I$543,9,FALSE)</f>
        <v>#REF!</v>
      </c>
      <c r="D545" t="e">
        <f>VLOOKUP(A545,'Overall Results'!$B$2:$I$543,10,FALSE)</f>
        <v>#REF!</v>
      </c>
      <c r="E545" s="3">
        <v>822.8</v>
      </c>
      <c r="F545" s="3">
        <v>10.83</v>
      </c>
      <c r="G545" s="8" t="e">
        <f>ABS(Table2[[#This Row],[E - FPts]]-Table2[[#This Row],[FPts]])</f>
        <v>#REF!</v>
      </c>
      <c r="H545" s="8" t="e">
        <f>ABS(Table2[[#This Row],[E - FP/G]]-Table2[[#This Row],[FP/G]])</f>
        <v>#REF!</v>
      </c>
    </row>
    <row r="546" spans="1:8" x14ac:dyDescent="0.25">
      <c r="A546" t="s">
        <v>779</v>
      </c>
      <c r="B546" t="s">
        <v>780</v>
      </c>
      <c r="C546" t="e">
        <f>VLOOKUP(A546,'Overall Results'!$B$2:$I$543,9,FALSE)</f>
        <v>#REF!</v>
      </c>
      <c r="D546" t="e">
        <f>VLOOKUP(A546,'Overall Results'!$B$2:$I$543,10,FALSE)</f>
        <v>#REF!</v>
      </c>
      <c r="E546" s="3">
        <v>231.95</v>
      </c>
      <c r="F546" s="3">
        <v>3.09</v>
      </c>
      <c r="G546" s="8" t="e">
        <f>ABS(Table2[[#This Row],[E - FPts]]-Table2[[#This Row],[FPts]])</f>
        <v>#REF!</v>
      </c>
      <c r="H546" s="8" t="e">
        <f>ABS(Table2[[#This Row],[E - FP/G]]-Table2[[#This Row],[FP/G]])</f>
        <v>#REF!</v>
      </c>
    </row>
    <row r="547" spans="1:8" x14ac:dyDescent="0.25">
      <c r="A547" t="s">
        <v>85</v>
      </c>
      <c r="B547" t="s">
        <v>86</v>
      </c>
      <c r="C547" t="e">
        <f>VLOOKUP(A547,'Overall Results'!$B$2:$I$543,9,FALSE)</f>
        <v>#REF!</v>
      </c>
      <c r="D547" t="e">
        <f>VLOOKUP(A547,'Overall Results'!$B$2:$I$543,10,FALSE)</f>
        <v>#REF!</v>
      </c>
      <c r="E547" s="3">
        <v>522.20000000000005</v>
      </c>
      <c r="F547" s="3">
        <v>7.68</v>
      </c>
      <c r="G547" s="8" t="e">
        <f>ABS(Table2[[#This Row],[E - FPts]]-Table2[[#This Row],[FPts]])</f>
        <v>#REF!</v>
      </c>
      <c r="H547" s="8" t="e">
        <f>ABS(Table2[[#This Row],[E - FP/G]]-Table2[[#This Row],[FP/G]])</f>
        <v>#REF!</v>
      </c>
    </row>
    <row r="548" spans="1:8" x14ac:dyDescent="0.25">
      <c r="A548" t="s">
        <v>809</v>
      </c>
      <c r="B548" t="s">
        <v>810</v>
      </c>
      <c r="C548" t="e">
        <f>VLOOKUP(A548,'Overall Results'!$B$2:$I$543,9,FALSE)</f>
        <v>#REF!</v>
      </c>
      <c r="D548" t="e">
        <f>VLOOKUP(A548,'Overall Results'!$B$2:$I$543,10,FALSE)</f>
        <v>#REF!</v>
      </c>
      <c r="E548" s="3">
        <v>275.25</v>
      </c>
      <c r="F548" s="3">
        <v>3.72</v>
      </c>
      <c r="G548" s="8" t="e">
        <f>ABS(Table2[[#This Row],[E - FPts]]-Table2[[#This Row],[FPts]])</f>
        <v>#REF!</v>
      </c>
      <c r="H548" s="8" t="e">
        <f>ABS(Table2[[#This Row],[E - FP/G]]-Table2[[#This Row],[FP/G]])</f>
        <v>#REF!</v>
      </c>
    </row>
    <row r="549" spans="1:8" x14ac:dyDescent="0.25">
      <c r="A549" t="s">
        <v>625</v>
      </c>
      <c r="B549" t="s">
        <v>626</v>
      </c>
      <c r="C549" t="e">
        <f>VLOOKUP(A549,'Overall Results'!$B$2:$I$543,9,FALSE)</f>
        <v>#REF!</v>
      </c>
      <c r="D549" t="e">
        <f>VLOOKUP(A549,'Overall Results'!$B$2:$I$543,10,FALSE)</f>
        <v>#REF!</v>
      </c>
      <c r="E549" s="3">
        <v>282.85000000000002</v>
      </c>
      <c r="F549" s="3">
        <v>3.67</v>
      </c>
      <c r="G549" s="8" t="e">
        <f>ABS(Table2[[#This Row],[E - FPts]]-Table2[[#This Row],[FPts]])</f>
        <v>#REF!</v>
      </c>
      <c r="H549" s="8" t="e">
        <f>ABS(Table2[[#This Row],[E - FP/G]]-Table2[[#This Row],[FP/G]])</f>
        <v>#REF!</v>
      </c>
    </row>
    <row r="550" spans="1:8" x14ac:dyDescent="0.25">
      <c r="A550" t="s">
        <v>367</v>
      </c>
      <c r="B550" t="s">
        <v>368</v>
      </c>
      <c r="C550" t="e">
        <f>VLOOKUP(A550,'Overall Results'!$B$2:$I$543,9,FALSE)</f>
        <v>#REF!</v>
      </c>
      <c r="D550" t="e">
        <f>VLOOKUP(A550,'Overall Results'!$B$2:$I$543,10,FALSE)</f>
        <v>#REF!</v>
      </c>
      <c r="E550" s="3">
        <v>410.9</v>
      </c>
      <c r="F550" s="3">
        <v>5.01</v>
      </c>
      <c r="G550" s="8" t="e">
        <f>ABS(Table2[[#This Row],[E - FPts]]-Table2[[#This Row],[FPts]])</f>
        <v>#REF!</v>
      </c>
      <c r="H550" s="8" t="e">
        <f>ABS(Table2[[#This Row],[E - FP/G]]-Table2[[#This Row],[FP/G]])</f>
        <v>#REF!</v>
      </c>
    </row>
    <row r="551" spans="1:8" x14ac:dyDescent="0.25">
      <c r="A551" t="s">
        <v>773</v>
      </c>
      <c r="B551" t="s">
        <v>774</v>
      </c>
      <c r="C551" t="e">
        <f>VLOOKUP(A551,'Overall Results'!$B$2:$I$543,9,FALSE)</f>
        <v>#REF!</v>
      </c>
      <c r="D551" t="e">
        <f>VLOOKUP(A551,'Overall Results'!$B$2:$I$543,10,FALSE)</f>
        <v>#REF!</v>
      </c>
      <c r="E551" s="3">
        <v>284.95</v>
      </c>
      <c r="F551" s="3">
        <v>3.65</v>
      </c>
      <c r="G551" s="8" t="e">
        <f>ABS(Table2[[#This Row],[E - FPts]]-Table2[[#This Row],[FPts]])</f>
        <v>#REF!</v>
      </c>
      <c r="H551" s="8" t="e">
        <f>ABS(Table2[[#This Row],[E - FP/G]]-Table2[[#This Row],[FP/G]])</f>
        <v>#REF!</v>
      </c>
    </row>
    <row r="552" spans="1:8" x14ac:dyDescent="0.25">
      <c r="A552" t="s">
        <v>833</v>
      </c>
      <c r="B552" t="s">
        <v>834</v>
      </c>
      <c r="C552" t="e">
        <f>VLOOKUP(A552,'Overall Results'!$B$2:$I$543,9,FALSE)</f>
        <v>#REF!</v>
      </c>
      <c r="D552" t="e">
        <f>VLOOKUP(A552,'Overall Results'!$B$2:$I$543,10,FALSE)</f>
        <v>#REF!</v>
      </c>
      <c r="E552" s="3">
        <v>235.4</v>
      </c>
      <c r="F552" s="3">
        <v>3.46</v>
      </c>
      <c r="G552" s="8" t="e">
        <f>ABS(Table2[[#This Row],[E - FPts]]-Table2[[#This Row],[FPts]])</f>
        <v>#REF!</v>
      </c>
      <c r="H552" s="8" t="e">
        <f>ABS(Table2[[#This Row],[E - FP/G]]-Table2[[#This Row],[FP/G]])</f>
        <v>#REF!</v>
      </c>
    </row>
    <row r="553" spans="1:8" x14ac:dyDescent="0.25">
      <c r="A553" t="s">
        <v>311</v>
      </c>
      <c r="B553" t="s">
        <v>312</v>
      </c>
      <c r="C553" t="e">
        <f>VLOOKUP(A553,'Overall Results'!$B$2:$I$543,9,FALSE)</f>
        <v>#REF!</v>
      </c>
      <c r="D553" t="e">
        <f>VLOOKUP(A553,'Overall Results'!$B$2:$I$543,10,FALSE)</f>
        <v>#REF!</v>
      </c>
      <c r="E553" s="3">
        <v>434.75</v>
      </c>
      <c r="F553" s="3">
        <v>5.3</v>
      </c>
      <c r="G553" s="8" t="e">
        <f>ABS(Table2[[#This Row],[E - FPts]]-Table2[[#This Row],[FPts]])</f>
        <v>#REF!</v>
      </c>
      <c r="H553" s="8" t="e">
        <f>ABS(Table2[[#This Row],[E - FP/G]]-Table2[[#This Row],[FP/G]])</f>
        <v>#REF!</v>
      </c>
    </row>
    <row r="554" spans="1:8" x14ac:dyDescent="0.25">
      <c r="A554" t="s">
        <v>655</v>
      </c>
      <c r="B554" t="s">
        <v>656</v>
      </c>
      <c r="C554" t="e">
        <f>VLOOKUP(A554,'Overall Results'!$B$2:$I$543,9,FALSE)</f>
        <v>#REF!</v>
      </c>
      <c r="D554" t="e">
        <f>VLOOKUP(A554,'Overall Results'!$B$2:$I$543,10,FALSE)</f>
        <v>#REF!</v>
      </c>
      <c r="E554" s="3">
        <v>298.8</v>
      </c>
      <c r="F554" s="3">
        <v>3.83</v>
      </c>
      <c r="G554" s="8" t="e">
        <f>ABS(Table2[[#This Row],[E - FPts]]-Table2[[#This Row],[FPts]])</f>
        <v>#REF!</v>
      </c>
      <c r="H554" s="8" t="e">
        <f>ABS(Table2[[#This Row],[E - FP/G]]-Table2[[#This Row],[FP/G]])</f>
        <v>#REF!</v>
      </c>
    </row>
    <row r="555" spans="1:8" x14ac:dyDescent="0.25">
      <c r="A555" t="s">
        <v>1051</v>
      </c>
      <c r="B555" t="s">
        <v>1052</v>
      </c>
      <c r="C555" t="e">
        <f>VLOOKUP(A555,'Overall Results'!$B$2:$I$543,9,FALSE)</f>
        <v>#REF!</v>
      </c>
      <c r="D555" t="e">
        <f>VLOOKUP(A555,'Overall Results'!$B$2:$I$543,10,FALSE)</f>
        <v>#REF!</v>
      </c>
      <c r="E555" s="3">
        <v>200.15</v>
      </c>
      <c r="F555" s="3">
        <v>2.6</v>
      </c>
      <c r="G555" s="8" t="e">
        <f>ABS(Table2[[#This Row],[E - FPts]]-Table2[[#This Row],[FPts]])</f>
        <v>#REF!</v>
      </c>
      <c r="H555" s="8" t="e">
        <f>ABS(Table2[[#This Row],[E - FP/G]]-Table2[[#This Row],[FP/G]])</f>
        <v>#REF!</v>
      </c>
    </row>
    <row r="556" spans="1:8" x14ac:dyDescent="0.25">
      <c r="A556" t="s">
        <v>1061</v>
      </c>
      <c r="B556" t="s">
        <v>1062</v>
      </c>
      <c r="C556" t="e">
        <f>VLOOKUP(A556,'Overall Results'!$B$2:$I$543,9,FALSE)</f>
        <v>#N/A</v>
      </c>
      <c r="D556" t="e">
        <f>VLOOKUP(A556,'Overall Results'!$B$2:$I$543,10,FALSE)</f>
        <v>#N/A</v>
      </c>
      <c r="E556" s="3">
        <v>203.05</v>
      </c>
      <c r="F556" s="3">
        <v>2.94</v>
      </c>
      <c r="G556" s="8" t="e">
        <f>ABS(Table2[[#This Row],[E - FPts]]-Table2[[#This Row],[FPts]])</f>
        <v>#N/A</v>
      </c>
      <c r="H556" s="8" t="e">
        <f>ABS(Table2[[#This Row],[E - FP/G]]-Table2[[#This Row],[FP/G]])</f>
        <v>#N/A</v>
      </c>
    </row>
    <row r="557" spans="1:8" x14ac:dyDescent="0.25">
      <c r="A557" t="s">
        <v>166</v>
      </c>
      <c r="B557" t="s">
        <v>167</v>
      </c>
      <c r="C557" t="e">
        <f>VLOOKUP(A557,'Overall Results'!$B$2:$I$543,9,FALSE)</f>
        <v>#REF!</v>
      </c>
      <c r="D557" t="e">
        <f>VLOOKUP(A557,'Overall Results'!$B$2:$I$543,10,FALSE)</f>
        <v>#REF!</v>
      </c>
      <c r="E557" s="3">
        <v>487.25</v>
      </c>
      <c r="F557" s="3">
        <v>5.94</v>
      </c>
      <c r="G557" s="8" t="e">
        <f>ABS(Table2[[#This Row],[E - FPts]]-Table2[[#This Row],[FPts]])</f>
        <v>#REF!</v>
      </c>
      <c r="H557" s="8" t="e">
        <f>ABS(Table2[[#This Row],[E - FP/G]]-Table2[[#This Row],[FP/G]])</f>
        <v>#REF!</v>
      </c>
    </row>
    <row r="558" spans="1:8" x14ac:dyDescent="0.25">
      <c r="A558" t="s">
        <v>94</v>
      </c>
      <c r="B558" t="s">
        <v>95</v>
      </c>
      <c r="C558" t="e">
        <f>VLOOKUP(A558,'Overall Results'!$B$2:$I$543,9,FALSE)</f>
        <v>#REF!</v>
      </c>
      <c r="D558" t="e">
        <f>VLOOKUP(A558,'Overall Results'!$B$2:$I$543,10,FALSE)</f>
        <v>#REF!</v>
      </c>
      <c r="E558" s="3">
        <v>576.85</v>
      </c>
      <c r="F558" s="3">
        <v>7.03</v>
      </c>
      <c r="G558" s="8" t="e">
        <f>ABS(Table2[[#This Row],[E - FPts]]-Table2[[#This Row],[FPts]])</f>
        <v>#REF!</v>
      </c>
      <c r="H558" s="8" t="e">
        <f>ABS(Table2[[#This Row],[E - FP/G]]-Table2[[#This Row],[FP/G]])</f>
        <v>#REF!</v>
      </c>
    </row>
    <row r="559" spans="1:8" x14ac:dyDescent="0.25">
      <c r="A559" t="s">
        <v>505</v>
      </c>
      <c r="B559" t="s">
        <v>506</v>
      </c>
      <c r="C559" t="e">
        <f>VLOOKUP(A559,'Overall Results'!$B$2:$I$543,9,FALSE)</f>
        <v>#REF!</v>
      </c>
      <c r="D559" t="e">
        <f>VLOOKUP(A559,'Overall Results'!$B$2:$I$543,10,FALSE)</f>
        <v>#REF!</v>
      </c>
      <c r="E559" s="3">
        <v>268.85000000000002</v>
      </c>
      <c r="F559" s="3">
        <v>4.2699999999999996</v>
      </c>
      <c r="G559" s="8" t="e">
        <f>ABS(Table2[[#This Row],[E - FPts]]-Table2[[#This Row],[FPts]])</f>
        <v>#REF!</v>
      </c>
      <c r="H559" s="8" t="e">
        <f>ABS(Table2[[#This Row],[E - FP/G]]-Table2[[#This Row],[FP/G]])</f>
        <v>#REF!</v>
      </c>
    </row>
    <row r="560" spans="1:8" x14ac:dyDescent="0.25">
      <c r="A560" t="s">
        <v>333</v>
      </c>
      <c r="B560" t="s">
        <v>334</v>
      </c>
      <c r="C560" t="e">
        <f>VLOOKUP(A560,'Overall Results'!$B$2:$I$543,9,FALSE)</f>
        <v>#REF!</v>
      </c>
      <c r="D560" t="e">
        <f>VLOOKUP(A560,'Overall Results'!$B$2:$I$543,10,FALSE)</f>
        <v>#REF!</v>
      </c>
      <c r="E560" s="3">
        <v>404.15</v>
      </c>
      <c r="F560" s="3">
        <v>5.12</v>
      </c>
      <c r="G560" s="8" t="e">
        <f>ABS(Table2[[#This Row],[E - FPts]]-Table2[[#This Row],[FPts]])</f>
        <v>#REF!</v>
      </c>
      <c r="H560" s="8" t="e">
        <f>ABS(Table2[[#This Row],[E - FP/G]]-Table2[[#This Row],[FP/G]])</f>
        <v>#REF!</v>
      </c>
    </row>
    <row r="561" spans="1:8" x14ac:dyDescent="0.25">
      <c r="A561" t="s">
        <v>777</v>
      </c>
      <c r="B561" t="s">
        <v>778</v>
      </c>
      <c r="C561" t="e">
        <f>VLOOKUP(A561,'Overall Results'!$B$2:$I$543,9,FALSE)</f>
        <v>#REF!</v>
      </c>
      <c r="D561" t="e">
        <f>VLOOKUP(A561,'Overall Results'!$B$2:$I$543,10,FALSE)</f>
        <v>#REF!</v>
      </c>
      <c r="E561" s="3">
        <v>302.64999999999998</v>
      </c>
      <c r="F561" s="3">
        <v>3.69</v>
      </c>
      <c r="G561" s="8" t="e">
        <f>ABS(Table2[[#This Row],[E - FPts]]-Table2[[#This Row],[FPts]])</f>
        <v>#REF!</v>
      </c>
      <c r="H561" s="8" t="e">
        <f>ABS(Table2[[#This Row],[E - FP/G]]-Table2[[#This Row],[FP/G]])</f>
        <v>#REF!</v>
      </c>
    </row>
    <row r="562" spans="1:8" x14ac:dyDescent="0.25">
      <c r="A562" t="s">
        <v>357</v>
      </c>
      <c r="B562" t="s">
        <v>358</v>
      </c>
      <c r="C562" t="e">
        <f>VLOOKUP(A562,'Overall Results'!$B$2:$I$543,9,FALSE)</f>
        <v>#REF!</v>
      </c>
      <c r="D562" t="e">
        <f>VLOOKUP(A562,'Overall Results'!$B$2:$I$543,10,FALSE)</f>
        <v>#REF!</v>
      </c>
      <c r="E562" s="3">
        <v>390.05</v>
      </c>
      <c r="F562" s="3">
        <v>5.74</v>
      </c>
      <c r="G562" s="8" t="e">
        <f>ABS(Table2[[#This Row],[E - FPts]]-Table2[[#This Row],[FPts]])</f>
        <v>#REF!</v>
      </c>
      <c r="H562" s="8" t="e">
        <f>ABS(Table2[[#This Row],[E - FP/G]]-Table2[[#This Row],[FP/G]])</f>
        <v>#REF!</v>
      </c>
    </row>
    <row r="563" spans="1:8" x14ac:dyDescent="0.25">
      <c r="A563" t="s">
        <v>593</v>
      </c>
      <c r="B563" t="s">
        <v>594</v>
      </c>
      <c r="C563" t="e">
        <f>VLOOKUP(A563,'Overall Results'!$B$2:$I$543,9,FALSE)</f>
        <v>#REF!</v>
      </c>
      <c r="D563" t="e">
        <f>VLOOKUP(A563,'Overall Results'!$B$2:$I$543,10,FALSE)</f>
        <v>#REF!</v>
      </c>
      <c r="E563" s="3">
        <v>320.45</v>
      </c>
      <c r="F563" s="3">
        <v>3.96</v>
      </c>
      <c r="G563" s="8" t="e">
        <f>ABS(Table2[[#This Row],[E - FPts]]-Table2[[#This Row],[FPts]])</f>
        <v>#REF!</v>
      </c>
      <c r="H563" s="8" t="e">
        <f>ABS(Table2[[#This Row],[E - FP/G]]-Table2[[#This Row],[FP/G]])</f>
        <v>#REF!</v>
      </c>
    </row>
    <row r="564" spans="1:8" x14ac:dyDescent="0.25">
      <c r="A564" t="s">
        <v>957</v>
      </c>
      <c r="B564" t="s">
        <v>958</v>
      </c>
      <c r="C564" t="e">
        <f>VLOOKUP(A564,'Overall Results'!$B$2:$I$543,9,FALSE)</f>
        <v>#REF!</v>
      </c>
      <c r="D564" t="e">
        <f>VLOOKUP(A564,'Overall Results'!$B$2:$I$543,10,FALSE)</f>
        <v>#REF!</v>
      </c>
      <c r="E564" s="3">
        <v>191.7</v>
      </c>
      <c r="F564" s="3">
        <v>2.66</v>
      </c>
      <c r="G564" s="8" t="e">
        <f>ABS(Table2[[#This Row],[E - FPts]]-Table2[[#This Row],[FPts]])</f>
        <v>#REF!</v>
      </c>
      <c r="H564" s="8" t="e">
        <f>ABS(Table2[[#This Row],[E - FP/G]]-Table2[[#This Row],[FP/G]])</f>
        <v>#REF!</v>
      </c>
    </row>
    <row r="565" spans="1:8" x14ac:dyDescent="0.25">
      <c r="A565" t="s">
        <v>695</v>
      </c>
      <c r="B565" t="s">
        <v>696</v>
      </c>
      <c r="C565" t="e">
        <f>VLOOKUP(A565,'Overall Results'!$B$2:$I$543,9,FALSE)</f>
        <v>#REF!</v>
      </c>
      <c r="D565" t="e">
        <f>VLOOKUP(A565,'Overall Results'!$B$2:$I$543,10,FALSE)</f>
        <v>#REF!</v>
      </c>
      <c r="E565" s="3">
        <v>271.89999999999998</v>
      </c>
      <c r="F565" s="3">
        <v>4.0599999999999996</v>
      </c>
      <c r="G565" s="8" t="e">
        <f>ABS(Table2[[#This Row],[E - FPts]]-Table2[[#This Row],[FPts]])</f>
        <v>#REF!</v>
      </c>
      <c r="H565" s="8" t="e">
        <f>ABS(Table2[[#This Row],[E - FP/G]]-Table2[[#This Row],[FP/G]])</f>
        <v>#REF!</v>
      </c>
    </row>
    <row r="566" spans="1:8" x14ac:dyDescent="0.25">
      <c r="A566" t="s">
        <v>479</v>
      </c>
      <c r="B566" t="s">
        <v>480</v>
      </c>
      <c r="C566" t="e">
        <f>VLOOKUP(A566,'Overall Results'!$B$2:$I$543,9,FALSE)</f>
        <v>#REF!</v>
      </c>
      <c r="D566" t="e">
        <f>VLOOKUP(A566,'Overall Results'!$B$2:$I$543,10,FALSE)</f>
        <v>#REF!</v>
      </c>
      <c r="E566" s="3">
        <v>362.4</v>
      </c>
      <c r="F566" s="3">
        <v>4.42</v>
      </c>
      <c r="G566" s="8" t="e">
        <f>ABS(Table2[[#This Row],[E - FPts]]-Table2[[#This Row],[FPts]])</f>
        <v>#REF!</v>
      </c>
      <c r="H566" s="8" t="e">
        <f>ABS(Table2[[#This Row],[E - FP/G]]-Table2[[#This Row],[FP/G]])</f>
        <v>#REF!</v>
      </c>
    </row>
    <row r="567" spans="1:8" x14ac:dyDescent="0.25">
      <c r="A567" t="s">
        <v>769</v>
      </c>
      <c r="B567" t="s">
        <v>770</v>
      </c>
      <c r="C567" t="e">
        <f>VLOOKUP(A567,'Overall Results'!$B$2:$I$543,9,FALSE)</f>
        <v>#REF!</v>
      </c>
      <c r="D567" t="e">
        <f>VLOOKUP(A567,'Overall Results'!$B$2:$I$543,10,FALSE)</f>
        <v>#REF!</v>
      </c>
      <c r="E567" s="3">
        <v>216.5</v>
      </c>
      <c r="F567" s="3">
        <v>3.8</v>
      </c>
      <c r="G567" s="8" t="e">
        <f>ABS(Table2[[#This Row],[E - FPts]]-Table2[[#This Row],[FPts]])</f>
        <v>#REF!</v>
      </c>
      <c r="H567" s="8" t="e">
        <f>ABS(Table2[[#This Row],[E - FP/G]]-Table2[[#This Row],[FP/G]])</f>
        <v>#REF!</v>
      </c>
    </row>
    <row r="568" spans="1:8" x14ac:dyDescent="0.25">
      <c r="A568" t="s">
        <v>415</v>
      </c>
      <c r="B568" t="s">
        <v>416</v>
      </c>
      <c r="C568" t="e">
        <f>VLOOKUP(A568,'Overall Results'!$B$2:$I$543,9,FALSE)</f>
        <v>#REF!</v>
      </c>
      <c r="D568" t="e">
        <f>VLOOKUP(A568,'Overall Results'!$B$2:$I$543,10,FALSE)</f>
        <v>#REF!</v>
      </c>
      <c r="E568" s="3">
        <v>575.35</v>
      </c>
      <c r="F568" s="3">
        <v>7.02</v>
      </c>
      <c r="G568" s="8" t="e">
        <f>ABS(Table2[[#This Row],[E - FPts]]-Table2[[#This Row],[FPts]])</f>
        <v>#REF!</v>
      </c>
      <c r="H568" s="8" t="e">
        <f>ABS(Table2[[#This Row],[E - FP/G]]-Table2[[#This Row],[FP/G]])</f>
        <v>#REF!</v>
      </c>
    </row>
    <row r="569" spans="1:8" x14ac:dyDescent="0.25">
      <c r="A569" t="s">
        <v>301</v>
      </c>
      <c r="B569" t="s">
        <v>302</v>
      </c>
      <c r="C569" t="e">
        <f>VLOOKUP(A569,'Overall Results'!$B$2:$I$543,9,FALSE)</f>
        <v>#REF!</v>
      </c>
      <c r="D569" t="e">
        <f>VLOOKUP(A569,'Overall Results'!$B$2:$I$543,10,FALSE)</f>
        <v>#REF!</v>
      </c>
      <c r="E569" s="3">
        <v>402.3</v>
      </c>
      <c r="F569" s="3">
        <v>5.03</v>
      </c>
      <c r="G569" s="8" t="e">
        <f>ABS(Table2[[#This Row],[E - FPts]]-Table2[[#This Row],[FPts]])</f>
        <v>#REF!</v>
      </c>
      <c r="H569" s="8" t="e">
        <f>ABS(Table2[[#This Row],[E - FP/G]]-Table2[[#This Row],[FP/G]])</f>
        <v>#REF!</v>
      </c>
    </row>
    <row r="570" spans="1:8" x14ac:dyDescent="0.25">
      <c r="A570" t="s">
        <v>1081</v>
      </c>
      <c r="B570" t="s">
        <v>1082</v>
      </c>
      <c r="C570" t="e">
        <f>VLOOKUP(A570,'Overall Results'!$B$2:$I$543,9,FALSE)</f>
        <v>#N/A</v>
      </c>
      <c r="D570" t="e">
        <f>VLOOKUP(A570,'Overall Results'!$B$2:$I$543,10,FALSE)</f>
        <v>#N/A</v>
      </c>
      <c r="E570" s="3">
        <v>81.849999999999994</v>
      </c>
      <c r="F570" s="3">
        <v>2.92</v>
      </c>
      <c r="G570" s="8" t="e">
        <f>ABS(Table2[[#This Row],[E - FPts]]-Table2[[#This Row],[FPts]])</f>
        <v>#N/A</v>
      </c>
      <c r="H570" s="8" t="e">
        <f>ABS(Table2[[#This Row],[E - FP/G]]-Table2[[#This Row],[FP/G]])</f>
        <v>#N/A</v>
      </c>
    </row>
    <row r="571" spans="1:8" x14ac:dyDescent="0.25">
      <c r="A571" t="s">
        <v>753</v>
      </c>
      <c r="B571" t="s">
        <v>754</v>
      </c>
      <c r="C571" t="e">
        <f>VLOOKUP(A571,'Overall Results'!$B$2:$I$543,9,FALSE)</f>
        <v>#REF!</v>
      </c>
      <c r="D571" t="e">
        <f>VLOOKUP(A571,'Overall Results'!$B$2:$I$543,10,FALSE)</f>
        <v>#REF!</v>
      </c>
      <c r="E571" s="3">
        <v>293.7</v>
      </c>
      <c r="F571" s="3">
        <v>3.63</v>
      </c>
      <c r="G571" s="8" t="e">
        <f>ABS(Table2[[#This Row],[E - FPts]]-Table2[[#This Row],[FPts]])</f>
        <v>#REF!</v>
      </c>
      <c r="H571" s="8" t="e">
        <f>ABS(Table2[[#This Row],[E - FP/G]]-Table2[[#This Row],[FP/G]])</f>
        <v>#REF!</v>
      </c>
    </row>
    <row r="572" spans="1:8" x14ac:dyDescent="0.25">
      <c r="A572" t="s">
        <v>351</v>
      </c>
      <c r="B572" t="s">
        <v>352</v>
      </c>
      <c r="C572" t="e">
        <f>VLOOKUP(A572,'Overall Results'!$B$2:$I$543,9,FALSE)</f>
        <v>#REF!</v>
      </c>
      <c r="D572" t="e">
        <f>VLOOKUP(A572,'Overall Results'!$B$2:$I$543,10,FALSE)</f>
        <v>#REF!</v>
      </c>
      <c r="E572" s="3">
        <v>398.4</v>
      </c>
      <c r="F572" s="3">
        <v>4.9800000000000004</v>
      </c>
      <c r="G572" s="8" t="e">
        <f>ABS(Table2[[#This Row],[E - FPts]]-Table2[[#This Row],[FPts]])</f>
        <v>#REF!</v>
      </c>
      <c r="H572" s="8" t="e">
        <f>ABS(Table2[[#This Row],[E - FP/G]]-Table2[[#This Row],[FP/G]])</f>
        <v>#REF!</v>
      </c>
    </row>
    <row r="573" spans="1:8" x14ac:dyDescent="0.25">
      <c r="A573" t="s">
        <v>222</v>
      </c>
      <c r="B573" t="s">
        <v>223</v>
      </c>
      <c r="C573" t="e">
        <f>VLOOKUP(A573,'Overall Results'!$B$2:$I$543,9,FALSE)</f>
        <v>#REF!</v>
      </c>
      <c r="D573" t="e">
        <f>VLOOKUP(A573,'Overall Results'!$B$2:$I$543,10,FALSE)</f>
        <v>#REF!</v>
      </c>
      <c r="E573" s="3">
        <v>567.15</v>
      </c>
      <c r="F573" s="3">
        <v>7.37</v>
      </c>
      <c r="G573" s="8" t="e">
        <f>ABS(Table2[[#This Row],[E - FPts]]-Table2[[#This Row],[FPts]])</f>
        <v>#REF!</v>
      </c>
      <c r="H573" s="8" t="e">
        <f>ABS(Table2[[#This Row],[E - FP/G]]-Table2[[#This Row],[FP/G]])</f>
        <v>#REF!</v>
      </c>
    </row>
    <row r="574" spans="1:8" x14ac:dyDescent="0.25">
      <c r="A574" t="s">
        <v>249</v>
      </c>
      <c r="B574" t="s">
        <v>250</v>
      </c>
      <c r="C574" t="e">
        <f>VLOOKUP(A574,'Overall Results'!$B$2:$I$543,9,FALSE)</f>
        <v>#REF!</v>
      </c>
      <c r="D574" t="e">
        <f>VLOOKUP(A574,'Overall Results'!$B$2:$I$543,10,FALSE)</f>
        <v>#REF!</v>
      </c>
      <c r="E574" s="3">
        <v>556.04999999999995</v>
      </c>
      <c r="F574" s="3">
        <v>8.9700000000000006</v>
      </c>
      <c r="G574" s="8" t="e">
        <f>ABS(Table2[[#This Row],[E - FPts]]-Table2[[#This Row],[FPts]])</f>
        <v>#REF!</v>
      </c>
      <c r="H574" s="8" t="e">
        <f>ABS(Table2[[#This Row],[E - FP/G]]-Table2[[#This Row],[FP/G]])</f>
        <v>#REF!</v>
      </c>
    </row>
    <row r="575" spans="1:8" x14ac:dyDescent="0.25">
      <c r="A575" t="s">
        <v>273</v>
      </c>
      <c r="B575" t="s">
        <v>274</v>
      </c>
      <c r="C575" t="e">
        <f>VLOOKUP(A575,'Overall Results'!$B$2:$I$543,9,FALSE)</f>
        <v>#REF!</v>
      </c>
      <c r="D575" t="e">
        <f>VLOOKUP(A575,'Overall Results'!$B$2:$I$543,10,FALSE)</f>
        <v>#REF!</v>
      </c>
      <c r="E575" s="3">
        <v>504.9</v>
      </c>
      <c r="F575" s="3">
        <v>6.16</v>
      </c>
      <c r="G575" s="8" t="e">
        <f>ABS(Table2[[#This Row],[E - FPts]]-Table2[[#This Row],[FPts]])</f>
        <v>#REF!</v>
      </c>
      <c r="H575" s="8" t="e">
        <f>ABS(Table2[[#This Row],[E - FP/G]]-Table2[[#This Row],[FP/G]])</f>
        <v>#REF!</v>
      </c>
    </row>
    <row r="576" spans="1:8" x14ac:dyDescent="0.25">
      <c r="A576" t="s">
        <v>285</v>
      </c>
      <c r="B576" t="s">
        <v>286</v>
      </c>
      <c r="C576" t="e">
        <f>VLOOKUP(A576,'Overall Results'!$B$2:$I$543,9,FALSE)</f>
        <v>#REF!</v>
      </c>
      <c r="D576" t="e">
        <f>VLOOKUP(A576,'Overall Results'!$B$2:$I$543,10,FALSE)</f>
        <v>#REF!</v>
      </c>
      <c r="E576" s="3">
        <v>461.4</v>
      </c>
      <c r="F576" s="3">
        <v>6.59</v>
      </c>
      <c r="G576" s="8" t="e">
        <f>ABS(Table2[[#This Row],[E - FPts]]-Table2[[#This Row],[FPts]])</f>
        <v>#REF!</v>
      </c>
      <c r="H576" s="8" t="e">
        <f>ABS(Table2[[#This Row],[E - FP/G]]-Table2[[#This Row],[FP/G]])</f>
        <v>#REF!</v>
      </c>
    </row>
    <row r="577" spans="1:8" x14ac:dyDescent="0.25">
      <c r="A577" t="s">
        <v>583</v>
      </c>
      <c r="B577" t="s">
        <v>584</v>
      </c>
      <c r="C577" t="e">
        <f>VLOOKUP(A577,'Overall Results'!$B$2:$I$543,9,FALSE)</f>
        <v>#REF!</v>
      </c>
      <c r="D577" t="e">
        <f>VLOOKUP(A577,'Overall Results'!$B$2:$I$543,10,FALSE)</f>
        <v>#REF!</v>
      </c>
      <c r="E577" s="3">
        <v>353.6</v>
      </c>
      <c r="F577" s="3">
        <v>4.3099999999999996</v>
      </c>
      <c r="G577" s="8" t="e">
        <f>ABS(Table2[[#This Row],[E - FPts]]-Table2[[#This Row],[FPts]])</f>
        <v>#REF!</v>
      </c>
      <c r="H577" s="8" t="e">
        <f>ABS(Table2[[#This Row],[E - FP/G]]-Table2[[#This Row],[FP/G]])</f>
        <v>#REF!</v>
      </c>
    </row>
    <row r="578" spans="1:8" x14ac:dyDescent="0.25">
      <c r="A578" t="s">
        <v>813</v>
      </c>
      <c r="B578" t="s">
        <v>814</v>
      </c>
      <c r="C578" t="e">
        <f>VLOOKUP(A578,'Overall Results'!$B$2:$I$543,9,FALSE)</f>
        <v>#REF!</v>
      </c>
      <c r="D578" t="e">
        <f>VLOOKUP(A578,'Overall Results'!$B$2:$I$543,10,FALSE)</f>
        <v>#REF!</v>
      </c>
      <c r="E578" s="3">
        <v>183.95</v>
      </c>
      <c r="F578" s="3">
        <v>2.79</v>
      </c>
      <c r="G578" s="8" t="e">
        <f>ABS(Table2[[#This Row],[E - FPts]]-Table2[[#This Row],[FPts]])</f>
        <v>#REF!</v>
      </c>
      <c r="H578" s="8" t="e">
        <f>ABS(Table2[[#This Row],[E - FP/G]]-Table2[[#This Row],[FP/G]])</f>
        <v>#REF!</v>
      </c>
    </row>
    <row r="579" spans="1:8" x14ac:dyDescent="0.25">
      <c r="A579" t="s">
        <v>1298</v>
      </c>
      <c r="B579" t="s">
        <v>1299</v>
      </c>
      <c r="C579" t="e">
        <f>VLOOKUP(A579,'Overall Results'!$B$2:$I$543,9,FALSE)</f>
        <v>#REF!</v>
      </c>
      <c r="D579" t="e">
        <f>VLOOKUP(A579,'Overall Results'!$B$2:$I$543,10,FALSE)</f>
        <v>#REF!</v>
      </c>
      <c r="E579" s="3">
        <v>41.35</v>
      </c>
      <c r="F579" s="3">
        <v>1.88</v>
      </c>
      <c r="G579" s="8" t="e">
        <f>ABS(Table2[[#This Row],[E - FPts]]-Table2[[#This Row],[FPts]])</f>
        <v>#REF!</v>
      </c>
      <c r="H579" s="8" t="e">
        <f>ABS(Table2[[#This Row],[E - FP/G]]-Table2[[#This Row],[FP/G]])</f>
        <v>#REF!</v>
      </c>
    </row>
    <row r="580" spans="1:8" x14ac:dyDescent="0.25">
      <c r="A580" t="s">
        <v>495</v>
      </c>
      <c r="B580" t="s">
        <v>496</v>
      </c>
      <c r="C580" t="e">
        <f>VLOOKUP(A580,'Overall Results'!$B$2:$I$543,9,FALSE)</f>
        <v>#REF!</v>
      </c>
      <c r="D580" t="e">
        <f>VLOOKUP(A580,'Overall Results'!$B$2:$I$543,10,FALSE)</f>
        <v>#REF!</v>
      </c>
      <c r="E580" s="3">
        <v>303.10000000000002</v>
      </c>
      <c r="F580" s="3">
        <v>3.99</v>
      </c>
      <c r="G580" s="8" t="e">
        <f>ABS(Table2[[#This Row],[E - FPts]]-Table2[[#This Row],[FPts]])</f>
        <v>#REF!</v>
      </c>
      <c r="H580" s="8" t="e">
        <f>ABS(Table2[[#This Row],[E - FP/G]]-Table2[[#This Row],[FP/G]])</f>
        <v>#REF!</v>
      </c>
    </row>
    <row r="581" spans="1:8" x14ac:dyDescent="0.25">
      <c r="A581" t="s">
        <v>1197</v>
      </c>
      <c r="B581" t="s">
        <v>1198</v>
      </c>
      <c r="C581" t="e">
        <f>VLOOKUP(A581,'Overall Results'!$B$2:$I$543,9,FALSE)</f>
        <v>#N/A</v>
      </c>
      <c r="D581" t="e">
        <f>VLOOKUP(A581,'Overall Results'!$B$2:$I$543,10,FALSE)</f>
        <v>#N/A</v>
      </c>
      <c r="E581" s="3">
        <v>90.65</v>
      </c>
      <c r="F581" s="3">
        <v>3.36</v>
      </c>
      <c r="G581" s="8" t="e">
        <f>ABS(Table2[[#This Row],[E - FPts]]-Table2[[#This Row],[FPts]])</f>
        <v>#N/A</v>
      </c>
      <c r="H581" s="8" t="e">
        <f>ABS(Table2[[#This Row],[E - FP/G]]-Table2[[#This Row],[FP/G]])</f>
        <v>#N/A</v>
      </c>
    </row>
    <row r="582" spans="1:8" x14ac:dyDescent="0.25">
      <c r="A582" t="s">
        <v>142</v>
      </c>
      <c r="B582" t="s">
        <v>143</v>
      </c>
      <c r="C582" t="e">
        <f>VLOOKUP(A582,'Overall Results'!$B$2:$I$543,9,FALSE)</f>
        <v>#REF!</v>
      </c>
      <c r="D582" t="e">
        <f>VLOOKUP(A582,'Overall Results'!$B$2:$I$543,10,FALSE)</f>
        <v>#REF!</v>
      </c>
      <c r="E582" s="3">
        <v>542.5</v>
      </c>
      <c r="F582" s="3">
        <v>6.7</v>
      </c>
      <c r="G582" s="8" t="e">
        <f>ABS(Table2[[#This Row],[E - FPts]]-Table2[[#This Row],[FPts]])</f>
        <v>#REF!</v>
      </c>
      <c r="H582" s="8" t="e">
        <f>ABS(Table2[[#This Row],[E - FP/G]]-Table2[[#This Row],[FP/G]])</f>
        <v>#REF!</v>
      </c>
    </row>
    <row r="583" spans="1:8" x14ac:dyDescent="0.25">
      <c r="A583" t="s">
        <v>743</v>
      </c>
      <c r="B583" t="s">
        <v>744</v>
      </c>
      <c r="C583" t="e">
        <f>VLOOKUP(A583,'Overall Results'!$B$2:$I$543,9,FALSE)</f>
        <v>#REF!</v>
      </c>
      <c r="D583" t="e">
        <f>VLOOKUP(A583,'Overall Results'!$B$2:$I$543,10,FALSE)</f>
        <v>#REF!</v>
      </c>
      <c r="E583" s="3">
        <v>256.64999999999998</v>
      </c>
      <c r="F583" s="3">
        <v>3.21</v>
      </c>
      <c r="G583" s="8" t="e">
        <f>ABS(Table2[[#This Row],[E - FPts]]-Table2[[#This Row],[FPts]])</f>
        <v>#REF!</v>
      </c>
      <c r="H583" s="8" t="e">
        <f>ABS(Table2[[#This Row],[E - FP/G]]-Table2[[#This Row],[FP/G]])</f>
        <v>#REF!</v>
      </c>
    </row>
    <row r="584" spans="1:8" x14ac:dyDescent="0.25">
      <c r="A584" t="s">
        <v>108</v>
      </c>
      <c r="B584" t="s">
        <v>109</v>
      </c>
      <c r="C584" t="e">
        <f>VLOOKUP(A584,'Overall Results'!$B$2:$I$543,9,FALSE)</f>
        <v>#REF!</v>
      </c>
      <c r="D584" t="e">
        <f>VLOOKUP(A584,'Overall Results'!$B$2:$I$543,10,FALSE)</f>
        <v>#REF!</v>
      </c>
      <c r="E584" s="3">
        <v>572</v>
      </c>
      <c r="F584" s="3">
        <v>7.15</v>
      </c>
      <c r="G584" s="8" t="e">
        <f>ABS(Table2[[#This Row],[E - FPts]]-Table2[[#This Row],[FPts]])</f>
        <v>#REF!</v>
      </c>
      <c r="H584" s="8" t="e">
        <f>ABS(Table2[[#This Row],[E - FP/G]]-Table2[[#This Row],[FP/G]])</f>
        <v>#REF!</v>
      </c>
    </row>
    <row r="585" spans="1:8" x14ac:dyDescent="0.25">
      <c r="A585" t="s">
        <v>148</v>
      </c>
      <c r="B585" t="s">
        <v>149</v>
      </c>
      <c r="C585" t="e">
        <f>VLOOKUP(A585,'Overall Results'!$B$2:$I$543,9,FALSE)</f>
        <v>#REF!</v>
      </c>
      <c r="D585" t="e">
        <f>VLOOKUP(A585,'Overall Results'!$B$2:$I$543,10,FALSE)</f>
        <v>#REF!</v>
      </c>
      <c r="E585" s="3">
        <v>546.75</v>
      </c>
      <c r="F585" s="3">
        <v>7.19</v>
      </c>
      <c r="G585" s="8" t="e">
        <f>ABS(Table2[[#This Row],[E - FPts]]-Table2[[#This Row],[FPts]])</f>
        <v>#REF!</v>
      </c>
      <c r="H585" s="8" t="e">
        <f>ABS(Table2[[#This Row],[E - FP/G]]-Table2[[#This Row],[FP/G]])</f>
        <v>#REF!</v>
      </c>
    </row>
    <row r="586" spans="1:8" x14ac:dyDescent="0.25">
      <c r="A586" t="s">
        <v>391</v>
      </c>
      <c r="B586" t="s">
        <v>392</v>
      </c>
      <c r="C586" t="e">
        <f>VLOOKUP(A586,'Overall Results'!$B$2:$I$543,9,FALSE)</f>
        <v>#REF!</v>
      </c>
      <c r="D586" t="e">
        <f>VLOOKUP(A586,'Overall Results'!$B$2:$I$543,10,FALSE)</f>
        <v>#REF!</v>
      </c>
      <c r="E586" s="3">
        <v>411.75</v>
      </c>
      <c r="F586" s="3">
        <v>5.0199999999999996</v>
      </c>
      <c r="G586" s="8" t="e">
        <f>ABS(Table2[[#This Row],[E - FPts]]-Table2[[#This Row],[FPts]])</f>
        <v>#REF!</v>
      </c>
      <c r="H586" s="8" t="e">
        <f>ABS(Table2[[#This Row],[E - FP/G]]-Table2[[#This Row],[FP/G]])</f>
        <v>#REF!</v>
      </c>
    </row>
    <row r="587" spans="1:8" x14ac:dyDescent="0.25">
      <c r="A587" t="s">
        <v>665</v>
      </c>
      <c r="B587" t="s">
        <v>666</v>
      </c>
      <c r="C587" t="e">
        <f>VLOOKUP(A587,'Overall Results'!$B$2:$I$543,9,FALSE)</f>
        <v>#REF!</v>
      </c>
      <c r="D587" t="e">
        <f>VLOOKUP(A587,'Overall Results'!$B$2:$I$543,10,FALSE)</f>
        <v>#REF!</v>
      </c>
      <c r="E587" s="3">
        <v>262</v>
      </c>
      <c r="F587" s="3">
        <v>3.8</v>
      </c>
      <c r="G587" s="8" t="e">
        <f>ABS(Table2[[#This Row],[E - FPts]]-Table2[[#This Row],[FPts]])</f>
        <v>#REF!</v>
      </c>
      <c r="H587" s="8" t="e">
        <f>ABS(Table2[[#This Row],[E - FP/G]]-Table2[[#This Row],[FP/G]])</f>
        <v>#REF!</v>
      </c>
    </row>
    <row r="588" spans="1:8" x14ac:dyDescent="0.25">
      <c r="A588" t="s">
        <v>671</v>
      </c>
      <c r="B588" t="s">
        <v>672</v>
      </c>
      <c r="C588" t="e">
        <f>VLOOKUP(A588,'Overall Results'!$B$2:$I$543,9,FALSE)</f>
        <v>#REF!</v>
      </c>
      <c r="D588" t="e">
        <f>VLOOKUP(A588,'Overall Results'!$B$2:$I$543,10,FALSE)</f>
        <v>#REF!</v>
      </c>
      <c r="E588" s="3">
        <v>303.8</v>
      </c>
      <c r="F588" s="3">
        <v>4.1100000000000003</v>
      </c>
      <c r="G588" s="8" t="e">
        <f>ABS(Table2[[#This Row],[E - FPts]]-Table2[[#This Row],[FPts]])</f>
        <v>#REF!</v>
      </c>
      <c r="H588" s="8" t="e">
        <f>ABS(Table2[[#This Row],[E - FP/G]]-Table2[[#This Row],[FP/G]])</f>
        <v>#REF!</v>
      </c>
    </row>
    <row r="589" spans="1:8" x14ac:dyDescent="0.25">
      <c r="A589" t="s">
        <v>1145</v>
      </c>
      <c r="B589" t="s">
        <v>1146</v>
      </c>
      <c r="C589" t="e">
        <f>VLOOKUP(A589,'Overall Results'!$B$2:$I$543,9,FALSE)</f>
        <v>#N/A</v>
      </c>
      <c r="D589" t="e">
        <f>VLOOKUP(A589,'Overall Results'!$B$2:$I$543,10,FALSE)</f>
        <v>#N/A</v>
      </c>
      <c r="E589" s="3">
        <v>16.95</v>
      </c>
      <c r="F589" s="3">
        <v>2.82</v>
      </c>
      <c r="G589" s="8" t="e">
        <f>ABS(Table2[[#This Row],[E - FPts]]-Table2[[#This Row],[FPts]])</f>
        <v>#N/A</v>
      </c>
      <c r="H589" s="8" t="e">
        <f>ABS(Table2[[#This Row],[E - FP/G]]-Table2[[#This Row],[FP/G]])</f>
        <v>#N/A</v>
      </c>
    </row>
    <row r="590" spans="1:8" x14ac:dyDescent="0.25">
      <c r="A590" t="s">
        <v>345</v>
      </c>
      <c r="B590" t="s">
        <v>346</v>
      </c>
      <c r="C590" t="e">
        <f>VLOOKUP(A590,'Overall Results'!$B$2:$I$543,9,FALSE)</f>
        <v>#REF!</v>
      </c>
      <c r="D590" t="e">
        <f>VLOOKUP(A590,'Overall Results'!$B$2:$I$543,10,FALSE)</f>
        <v>#REF!</v>
      </c>
      <c r="E590" s="3">
        <v>285.14999999999998</v>
      </c>
      <c r="F590" s="3">
        <v>6.07</v>
      </c>
      <c r="G590" s="8" t="e">
        <f>ABS(Table2[[#This Row],[E - FPts]]-Table2[[#This Row],[FPts]])</f>
        <v>#REF!</v>
      </c>
      <c r="H590" s="8" t="e">
        <f>ABS(Table2[[#This Row],[E - FP/G]]-Table2[[#This Row],[FP/G]])</f>
        <v>#REF!</v>
      </c>
    </row>
    <row r="591" spans="1:8" x14ac:dyDescent="0.25">
      <c r="A591" t="s">
        <v>577</v>
      </c>
      <c r="B591" t="s">
        <v>578</v>
      </c>
      <c r="C591" t="e">
        <f>VLOOKUP(A591,'Overall Results'!$B$2:$I$543,9,FALSE)</f>
        <v>#REF!</v>
      </c>
      <c r="D591" t="e">
        <f>VLOOKUP(A591,'Overall Results'!$B$2:$I$543,10,FALSE)</f>
        <v>#REF!</v>
      </c>
      <c r="E591" s="3">
        <v>295.8</v>
      </c>
      <c r="F591" s="3">
        <v>4.1100000000000003</v>
      </c>
      <c r="G591" s="8" t="e">
        <f>ABS(Table2[[#This Row],[E - FPts]]-Table2[[#This Row],[FPts]])</f>
        <v>#REF!</v>
      </c>
      <c r="H591" s="8" t="e">
        <f>ABS(Table2[[#This Row],[E - FP/G]]-Table2[[#This Row],[FP/G]])</f>
        <v>#REF!</v>
      </c>
    </row>
    <row r="592" spans="1:8" x14ac:dyDescent="0.25">
      <c r="A592" t="s">
        <v>1522</v>
      </c>
      <c r="B592" t="s">
        <v>1523</v>
      </c>
      <c r="C592" t="e">
        <f>VLOOKUP(A592,'Overall Results'!$B$2:$I$543,9,FALSE)</f>
        <v>#N/A</v>
      </c>
      <c r="D592" t="e">
        <f>VLOOKUP(A592,'Overall Results'!$B$2:$I$543,10,FALSE)</f>
        <v>#N/A</v>
      </c>
      <c r="E592" s="3">
        <v>178.6</v>
      </c>
      <c r="F592" s="3">
        <v>3.97</v>
      </c>
      <c r="G592" s="8" t="e">
        <f>ABS(Table2[[#This Row],[E - FPts]]-Table2[[#This Row],[FPts]])</f>
        <v>#N/A</v>
      </c>
      <c r="H592" s="8" t="e">
        <f>ABS(Table2[[#This Row],[E - FP/G]]-Table2[[#This Row],[FP/G]])</f>
        <v>#N/A</v>
      </c>
    </row>
    <row r="593" spans="1:8" x14ac:dyDescent="0.25">
      <c r="A593" t="s">
        <v>129</v>
      </c>
      <c r="B593" t="s">
        <v>130</v>
      </c>
      <c r="C593" t="e">
        <f>VLOOKUP(A593,'Overall Results'!$B$2:$I$543,9,FALSE)</f>
        <v>#REF!</v>
      </c>
      <c r="D593" t="e">
        <f>VLOOKUP(A593,'Overall Results'!$B$2:$I$543,10,FALSE)</f>
        <v>#REF!</v>
      </c>
      <c r="E593" s="3">
        <v>700.6</v>
      </c>
      <c r="F593" s="3">
        <v>8.65</v>
      </c>
      <c r="G593" s="8" t="e">
        <f>ABS(Table2[[#This Row],[E - FPts]]-Table2[[#This Row],[FPts]])</f>
        <v>#REF!</v>
      </c>
      <c r="H593" s="8" t="e">
        <f>ABS(Table2[[#This Row],[E - FP/G]]-Table2[[#This Row],[FP/G]])</f>
        <v>#REF!</v>
      </c>
    </row>
    <row r="594" spans="1:8" x14ac:dyDescent="0.25">
      <c r="A594" t="s">
        <v>559</v>
      </c>
      <c r="B594" t="s">
        <v>560</v>
      </c>
      <c r="C594" t="e">
        <f>VLOOKUP(A594,'Overall Results'!$B$2:$I$543,9,FALSE)</f>
        <v>#N/A</v>
      </c>
      <c r="D594" t="e">
        <f>VLOOKUP(A594,'Overall Results'!$B$2:$I$543,10,FALSE)</f>
        <v>#N/A</v>
      </c>
      <c r="E594" s="3">
        <v>242.55</v>
      </c>
      <c r="F594" s="3">
        <v>4.04</v>
      </c>
      <c r="G594" s="8" t="e">
        <f>ABS(Table2[[#This Row],[E - FPts]]-Table2[[#This Row],[FPts]])</f>
        <v>#N/A</v>
      </c>
      <c r="H594" s="8" t="e">
        <f>ABS(Table2[[#This Row],[E - FP/G]]-Table2[[#This Row],[FP/G]])</f>
        <v>#N/A</v>
      </c>
    </row>
    <row r="595" spans="1:8" x14ac:dyDescent="0.25">
      <c r="A595" t="s">
        <v>585</v>
      </c>
      <c r="B595" t="s">
        <v>586</v>
      </c>
      <c r="C595" t="e">
        <f>VLOOKUP(A595,'Overall Results'!$B$2:$I$543,9,FALSE)</f>
        <v>#REF!</v>
      </c>
      <c r="D595" t="e">
        <f>VLOOKUP(A595,'Overall Results'!$B$2:$I$543,10,FALSE)</f>
        <v>#REF!</v>
      </c>
      <c r="E595" s="3">
        <v>222.7</v>
      </c>
      <c r="F595" s="3">
        <v>3.98</v>
      </c>
      <c r="G595" s="8" t="e">
        <f>ABS(Table2[[#This Row],[E - FPts]]-Table2[[#This Row],[FPts]])</f>
        <v>#REF!</v>
      </c>
      <c r="H595" s="8" t="e">
        <f>ABS(Table2[[#This Row],[E - FP/G]]-Table2[[#This Row],[FP/G]])</f>
        <v>#REF!</v>
      </c>
    </row>
    <row r="596" spans="1:8" x14ac:dyDescent="0.25">
      <c r="A596" t="s">
        <v>871</v>
      </c>
      <c r="B596" t="s">
        <v>872</v>
      </c>
      <c r="C596" t="e">
        <f>VLOOKUP(A596,'Overall Results'!$B$2:$I$543,9,FALSE)</f>
        <v>#REF!</v>
      </c>
      <c r="D596" t="e">
        <f>VLOOKUP(A596,'Overall Results'!$B$2:$I$543,10,FALSE)</f>
        <v>#REF!</v>
      </c>
      <c r="E596" s="3">
        <v>85.15</v>
      </c>
      <c r="F596" s="3">
        <v>2.75</v>
      </c>
      <c r="G596" s="8" t="e">
        <f>ABS(Table2[[#This Row],[E - FPts]]-Table2[[#This Row],[FPts]])</f>
        <v>#REF!</v>
      </c>
      <c r="H596" s="8" t="e">
        <f>ABS(Table2[[#This Row],[E - FP/G]]-Table2[[#This Row],[FP/G]])</f>
        <v>#REF!</v>
      </c>
    </row>
    <row r="597" spans="1:8" x14ac:dyDescent="0.25">
      <c r="A597" t="s">
        <v>1091</v>
      </c>
      <c r="B597" t="s">
        <v>1092</v>
      </c>
      <c r="C597" t="e">
        <f>VLOOKUP(A597,'Overall Results'!$B$2:$I$543,9,FALSE)</f>
        <v>#N/A</v>
      </c>
      <c r="D597" t="e">
        <f>VLOOKUP(A597,'Overall Results'!$B$2:$I$543,10,FALSE)</f>
        <v>#N/A</v>
      </c>
      <c r="E597" s="3">
        <v>187</v>
      </c>
      <c r="F597" s="3">
        <v>2.97</v>
      </c>
      <c r="G597" s="8" t="e">
        <f>ABS(Table2[[#This Row],[E - FPts]]-Table2[[#This Row],[FPts]])</f>
        <v>#N/A</v>
      </c>
      <c r="H597" s="8" t="e">
        <f>ABS(Table2[[#This Row],[E - FP/G]]-Table2[[#This Row],[FP/G]])</f>
        <v>#N/A</v>
      </c>
    </row>
    <row r="598" spans="1:8" x14ac:dyDescent="0.25">
      <c r="A598" t="s">
        <v>41</v>
      </c>
      <c r="B598" t="s">
        <v>42</v>
      </c>
      <c r="C598" t="e">
        <f>VLOOKUP(A598,'Overall Results'!$B$2:$I$543,9,FALSE)</f>
        <v>#REF!</v>
      </c>
      <c r="D598" t="e">
        <f>VLOOKUP(A598,'Overall Results'!$B$2:$I$543,10,FALSE)</f>
        <v>#REF!</v>
      </c>
      <c r="E598" s="3">
        <v>406.85</v>
      </c>
      <c r="F598" s="3">
        <v>7.53</v>
      </c>
      <c r="G598" s="8" t="e">
        <f>ABS(Table2[[#This Row],[E - FPts]]-Table2[[#This Row],[FPts]])</f>
        <v>#REF!</v>
      </c>
      <c r="H598" s="8" t="e">
        <f>ABS(Table2[[#This Row],[E - FP/G]]-Table2[[#This Row],[FP/G]])</f>
        <v>#REF!</v>
      </c>
    </row>
    <row r="599" spans="1:8" x14ac:dyDescent="0.25">
      <c r="A599" t="s">
        <v>1279</v>
      </c>
      <c r="B599" t="s">
        <v>1280</v>
      </c>
      <c r="C599" t="e">
        <f>VLOOKUP(A599,'Overall Results'!$B$2:$I$543,9,FALSE)</f>
        <v>#N/A</v>
      </c>
      <c r="D599" t="e">
        <f>VLOOKUP(A599,'Overall Results'!$B$2:$I$543,10,FALSE)</f>
        <v>#N/A</v>
      </c>
      <c r="E599" s="3">
        <v>40.65</v>
      </c>
      <c r="F599" s="3">
        <v>2.71</v>
      </c>
      <c r="G599" s="8" t="e">
        <f>ABS(Table2[[#This Row],[E - FPts]]-Table2[[#This Row],[FPts]])</f>
        <v>#N/A</v>
      </c>
      <c r="H599" s="8" t="e">
        <f>ABS(Table2[[#This Row],[E - FP/G]]-Table2[[#This Row],[FP/G]])</f>
        <v>#N/A</v>
      </c>
    </row>
    <row r="600" spans="1:8" x14ac:dyDescent="0.25">
      <c r="A600" t="s">
        <v>1330</v>
      </c>
      <c r="B600" t="s">
        <v>1331</v>
      </c>
      <c r="C600" t="e">
        <f>VLOOKUP(A600,'Overall Results'!$B$2:$I$543,9,FALSE)</f>
        <v>#N/A</v>
      </c>
      <c r="D600" t="e">
        <f>VLOOKUP(A600,'Overall Results'!$B$2:$I$543,10,FALSE)</f>
        <v>#N/A</v>
      </c>
      <c r="E600" s="3">
        <v>100.3</v>
      </c>
      <c r="F600" s="3">
        <v>2.95</v>
      </c>
      <c r="G600" s="8" t="e">
        <f>ABS(Table2[[#This Row],[E - FPts]]-Table2[[#This Row],[FPts]])</f>
        <v>#N/A</v>
      </c>
      <c r="H600" s="8" t="e">
        <f>ABS(Table2[[#This Row],[E - FP/G]]-Table2[[#This Row],[FP/G]])</f>
        <v>#N/A</v>
      </c>
    </row>
    <row r="601" spans="1:8" x14ac:dyDescent="0.25">
      <c r="A601" t="s">
        <v>160</v>
      </c>
      <c r="B601" t="s">
        <v>161</v>
      </c>
      <c r="C601" t="e">
        <f>VLOOKUP(A601,'Overall Results'!$B$2:$I$543,9,FALSE)</f>
        <v>#REF!</v>
      </c>
      <c r="D601" t="e">
        <f>VLOOKUP(A601,'Overall Results'!$B$2:$I$543,10,FALSE)</f>
        <v>#REF!</v>
      </c>
      <c r="E601" s="3">
        <v>124.3</v>
      </c>
      <c r="F601" s="3">
        <v>6.91</v>
      </c>
      <c r="G601" s="8" t="e">
        <f>ABS(Table2[[#This Row],[E - FPts]]-Table2[[#This Row],[FPts]])</f>
        <v>#REF!</v>
      </c>
      <c r="H601" s="8" t="e">
        <f>ABS(Table2[[#This Row],[E - FP/G]]-Table2[[#This Row],[FP/G]])</f>
        <v>#REF!</v>
      </c>
    </row>
    <row r="602" spans="1:8" x14ac:dyDescent="0.25">
      <c r="A602" t="s">
        <v>1017</v>
      </c>
      <c r="B602" t="s">
        <v>1018</v>
      </c>
      <c r="C602" t="e">
        <f>VLOOKUP(A602,'Overall Results'!$B$2:$I$543,9,FALSE)</f>
        <v>#REF!</v>
      </c>
      <c r="D602" t="e">
        <f>VLOOKUP(A602,'Overall Results'!$B$2:$I$543,10,FALSE)</f>
        <v>#REF!</v>
      </c>
      <c r="E602" s="3">
        <v>263.3</v>
      </c>
      <c r="F602" s="3">
        <v>3.99</v>
      </c>
      <c r="G602" s="8" t="e">
        <f>ABS(Table2[[#This Row],[E - FPts]]-Table2[[#This Row],[FPts]])</f>
        <v>#REF!</v>
      </c>
      <c r="H602" s="8" t="e">
        <f>ABS(Table2[[#This Row],[E - FP/G]]-Table2[[#This Row],[FP/G]])</f>
        <v>#REF!</v>
      </c>
    </row>
    <row r="603" spans="1:8" x14ac:dyDescent="0.25">
      <c r="A603" t="s">
        <v>1117</v>
      </c>
      <c r="B603" t="s">
        <v>1118</v>
      </c>
      <c r="C603" t="e">
        <f>VLOOKUP(A603,'Overall Results'!$B$2:$I$543,9,FALSE)</f>
        <v>#N/A</v>
      </c>
      <c r="D603" t="e">
        <f>VLOOKUP(A603,'Overall Results'!$B$2:$I$543,10,FALSE)</f>
        <v>#N/A</v>
      </c>
      <c r="E603" s="3">
        <v>171.9</v>
      </c>
      <c r="F603" s="3">
        <v>3.02</v>
      </c>
      <c r="G603" s="8" t="e">
        <f>ABS(Table2[[#This Row],[E - FPts]]-Table2[[#This Row],[FPts]])</f>
        <v>#N/A</v>
      </c>
      <c r="H603" s="8" t="e">
        <f>ABS(Table2[[#This Row],[E - FP/G]]-Table2[[#This Row],[FP/G]])</f>
        <v>#N/A</v>
      </c>
    </row>
    <row r="604" spans="1:8" x14ac:dyDescent="0.25">
      <c r="A604" t="s">
        <v>847</v>
      </c>
      <c r="B604" t="s">
        <v>848</v>
      </c>
      <c r="C604" t="e">
        <f>VLOOKUP(A604,'Overall Results'!$B$2:$I$543,9,FALSE)</f>
        <v>#REF!</v>
      </c>
      <c r="D604" t="e">
        <f>VLOOKUP(A604,'Overall Results'!$B$2:$I$543,10,FALSE)</f>
        <v>#REF!</v>
      </c>
      <c r="E604" s="3">
        <v>279.64999999999998</v>
      </c>
      <c r="F604" s="3">
        <v>3.78</v>
      </c>
      <c r="G604" s="8" t="e">
        <f>ABS(Table2[[#This Row],[E - FPts]]-Table2[[#This Row],[FPts]])</f>
        <v>#REF!</v>
      </c>
      <c r="H604" s="8" t="e">
        <f>ABS(Table2[[#This Row],[E - FP/G]]-Table2[[#This Row],[FP/G]])</f>
        <v>#REF!</v>
      </c>
    </row>
    <row r="605" spans="1:8" x14ac:dyDescent="0.25">
      <c r="A605" t="s">
        <v>204</v>
      </c>
      <c r="B605" t="s">
        <v>205</v>
      </c>
      <c r="C605" t="e">
        <f>VLOOKUP(A605,'Overall Results'!$B$2:$I$543,9,FALSE)</f>
        <v>#REF!</v>
      </c>
      <c r="D605" t="e">
        <f>VLOOKUP(A605,'Overall Results'!$B$2:$I$543,10,FALSE)</f>
        <v>#REF!</v>
      </c>
      <c r="E605" s="3">
        <v>646.70000000000005</v>
      </c>
      <c r="F605" s="3">
        <v>8.4</v>
      </c>
      <c r="G605" s="8" t="e">
        <f>ABS(Table2[[#This Row],[E - FPts]]-Table2[[#This Row],[FPts]])</f>
        <v>#REF!</v>
      </c>
      <c r="H605" s="8" t="e">
        <f>ABS(Table2[[#This Row],[E - FP/G]]-Table2[[#This Row],[FP/G]])</f>
        <v>#REF!</v>
      </c>
    </row>
    <row r="606" spans="1:8" x14ac:dyDescent="0.25">
      <c r="A606" t="s">
        <v>162</v>
      </c>
      <c r="B606" t="s">
        <v>163</v>
      </c>
      <c r="C606" t="e">
        <f>VLOOKUP(A606,'Overall Results'!$B$2:$I$543,9,FALSE)</f>
        <v>#REF!</v>
      </c>
      <c r="D606" t="e">
        <f>VLOOKUP(A606,'Overall Results'!$B$2:$I$543,10,FALSE)</f>
        <v>#REF!</v>
      </c>
      <c r="E606" s="3">
        <v>525.54999999999995</v>
      </c>
      <c r="F606" s="3">
        <v>6.74</v>
      </c>
      <c r="G606" s="8" t="e">
        <f>ABS(Table2[[#This Row],[E - FPts]]-Table2[[#This Row],[FPts]])</f>
        <v>#REF!</v>
      </c>
      <c r="H606" s="8" t="e">
        <f>ABS(Table2[[#This Row],[E - FP/G]]-Table2[[#This Row],[FP/G]])</f>
        <v>#REF!</v>
      </c>
    </row>
    <row r="607" spans="1:8" x14ac:dyDescent="0.25">
      <c r="A607" t="s">
        <v>1209</v>
      </c>
      <c r="B607" t="s">
        <v>1210</v>
      </c>
      <c r="C607" t="e">
        <f>VLOOKUP(A607,'Overall Results'!$B$2:$I$543,9,FALSE)</f>
        <v>#REF!</v>
      </c>
      <c r="D607" t="e">
        <f>VLOOKUP(A607,'Overall Results'!$B$2:$I$543,10,FALSE)</f>
        <v>#REF!</v>
      </c>
      <c r="E607" s="3">
        <v>170.05</v>
      </c>
      <c r="F607" s="3">
        <v>2.98</v>
      </c>
      <c r="G607" s="8" t="e">
        <f>ABS(Table2[[#This Row],[E - FPts]]-Table2[[#This Row],[FPts]])</f>
        <v>#REF!</v>
      </c>
      <c r="H607" s="8" t="e">
        <f>ABS(Table2[[#This Row],[E - FP/G]]-Table2[[#This Row],[FP/G]])</f>
        <v>#REF!</v>
      </c>
    </row>
    <row r="608" spans="1:8" x14ac:dyDescent="0.25">
      <c r="A608" t="s">
        <v>1171</v>
      </c>
      <c r="B608" t="s">
        <v>1172</v>
      </c>
      <c r="C608" t="e">
        <f>VLOOKUP(A608,'Overall Results'!$B$2:$I$543,9,FALSE)</f>
        <v>#N/A</v>
      </c>
      <c r="D608" t="e">
        <f>VLOOKUP(A608,'Overall Results'!$B$2:$I$543,10,FALSE)</f>
        <v>#N/A</v>
      </c>
      <c r="E608" s="3">
        <v>38.4</v>
      </c>
      <c r="F608" s="3">
        <v>2.74</v>
      </c>
      <c r="G608" s="8" t="e">
        <f>ABS(Table2[[#This Row],[E - FPts]]-Table2[[#This Row],[FPts]])</f>
        <v>#N/A</v>
      </c>
      <c r="H608" s="8" t="e">
        <f>ABS(Table2[[#This Row],[E - FP/G]]-Table2[[#This Row],[FP/G]])</f>
        <v>#N/A</v>
      </c>
    </row>
    <row r="609" spans="1:8" x14ac:dyDescent="0.25">
      <c r="A609" t="s">
        <v>477</v>
      </c>
      <c r="B609" t="s">
        <v>478</v>
      </c>
      <c r="C609" t="e">
        <f>VLOOKUP(A609,'Overall Results'!$B$2:$I$543,9,FALSE)</f>
        <v>#REF!</v>
      </c>
      <c r="D609" t="e">
        <f>VLOOKUP(A609,'Overall Results'!$B$2:$I$543,10,FALSE)</f>
        <v>#REF!</v>
      </c>
      <c r="E609" s="3">
        <v>337.7</v>
      </c>
      <c r="F609" s="3">
        <v>4.4400000000000004</v>
      </c>
      <c r="G609" s="8" t="e">
        <f>ABS(Table2[[#This Row],[E - FPts]]-Table2[[#This Row],[FPts]])</f>
        <v>#REF!</v>
      </c>
      <c r="H609" s="8" t="e">
        <f>ABS(Table2[[#This Row],[E - FP/G]]-Table2[[#This Row],[FP/G]])</f>
        <v>#REF!</v>
      </c>
    </row>
    <row r="610" spans="1:8" x14ac:dyDescent="0.25">
      <c r="A610" t="s">
        <v>11</v>
      </c>
      <c r="B610" t="s">
        <v>12</v>
      </c>
      <c r="C610" t="e">
        <f>VLOOKUP(A610,'Overall Results'!$B$2:$I$543,9,FALSE)</f>
        <v>#REF!</v>
      </c>
      <c r="D610" t="e">
        <f>VLOOKUP(A610,'Overall Results'!$B$2:$I$543,10,FALSE)</f>
        <v>#REF!</v>
      </c>
      <c r="E610" s="3">
        <v>892.05</v>
      </c>
      <c r="F610" s="3">
        <v>11.01</v>
      </c>
      <c r="G610" s="8" t="e">
        <f>ABS(Table2[[#This Row],[E - FPts]]-Table2[[#This Row],[FPts]])</f>
        <v>#REF!</v>
      </c>
      <c r="H610" s="8" t="e">
        <f>ABS(Table2[[#This Row],[E - FP/G]]-Table2[[#This Row],[FP/G]])</f>
        <v>#REF!</v>
      </c>
    </row>
    <row r="611" spans="1:8" x14ac:dyDescent="0.25">
      <c r="A611" t="s">
        <v>613</v>
      </c>
      <c r="B611" t="s">
        <v>614</v>
      </c>
      <c r="C611" t="e">
        <f>VLOOKUP(A611,'Overall Results'!$B$2:$I$543,9,FALSE)</f>
        <v>#REF!</v>
      </c>
      <c r="D611" t="e">
        <f>VLOOKUP(A611,'Overall Results'!$B$2:$I$543,10,FALSE)</f>
        <v>#REF!</v>
      </c>
      <c r="E611" s="3">
        <v>341.95</v>
      </c>
      <c r="F611" s="3">
        <v>4.17</v>
      </c>
      <c r="G611" s="8" t="e">
        <f>ABS(Table2[[#This Row],[E - FPts]]-Table2[[#This Row],[FPts]])</f>
        <v>#REF!</v>
      </c>
      <c r="H611" s="8" t="e">
        <f>ABS(Table2[[#This Row],[E - FP/G]]-Table2[[#This Row],[FP/G]])</f>
        <v>#REF!</v>
      </c>
    </row>
    <row r="612" spans="1:8" x14ac:dyDescent="0.25">
      <c r="A612" t="s">
        <v>569</v>
      </c>
      <c r="B612" t="s">
        <v>570</v>
      </c>
      <c r="C612" t="e">
        <f>VLOOKUP(A612,'Overall Results'!$B$2:$I$543,9,FALSE)</f>
        <v>#REF!</v>
      </c>
      <c r="D612" t="e">
        <f>VLOOKUP(A612,'Overall Results'!$B$2:$I$543,10,FALSE)</f>
        <v>#REF!</v>
      </c>
      <c r="E612" s="3">
        <v>380.95</v>
      </c>
      <c r="F612" s="3">
        <v>4.6500000000000004</v>
      </c>
      <c r="G612" s="8" t="e">
        <f>ABS(Table2[[#This Row],[E - FPts]]-Table2[[#This Row],[FPts]])</f>
        <v>#REF!</v>
      </c>
      <c r="H612" s="8" t="e">
        <f>ABS(Table2[[#This Row],[E - FP/G]]-Table2[[#This Row],[FP/G]])</f>
        <v>#REF!</v>
      </c>
    </row>
    <row r="613" spans="1:8" x14ac:dyDescent="0.25">
      <c r="A613" t="s">
        <v>1287</v>
      </c>
      <c r="B613" t="s">
        <v>1288</v>
      </c>
      <c r="C613" t="e">
        <f>VLOOKUP(A613,'Overall Results'!$B$2:$I$543,9,FALSE)</f>
        <v>#REF!</v>
      </c>
      <c r="D613" t="e">
        <f>VLOOKUP(A613,'Overall Results'!$B$2:$I$543,10,FALSE)</f>
        <v>#REF!</v>
      </c>
      <c r="E613" s="3">
        <v>136.6</v>
      </c>
      <c r="F613" s="3">
        <v>3.04</v>
      </c>
      <c r="G613" s="8" t="e">
        <f>ABS(Table2[[#This Row],[E - FPts]]-Table2[[#This Row],[FPts]])</f>
        <v>#REF!</v>
      </c>
      <c r="H613" s="8" t="e">
        <f>ABS(Table2[[#This Row],[E - FP/G]]-Table2[[#This Row],[FP/G]])</f>
        <v>#REF!</v>
      </c>
    </row>
    <row r="614" spans="1:8" x14ac:dyDescent="0.25">
      <c r="A614" t="s">
        <v>257</v>
      </c>
      <c r="B614" t="s">
        <v>258</v>
      </c>
      <c r="C614" t="e">
        <f>VLOOKUP(A614,'Overall Results'!$B$2:$I$543,9,FALSE)</f>
        <v>#REF!</v>
      </c>
      <c r="D614" t="e">
        <f>VLOOKUP(A614,'Overall Results'!$B$2:$I$543,10,FALSE)</f>
        <v>#REF!</v>
      </c>
      <c r="E614" s="3">
        <v>542</v>
      </c>
      <c r="F614" s="3">
        <v>6.61</v>
      </c>
      <c r="G614" s="8" t="e">
        <f>ABS(Table2[[#This Row],[E - FPts]]-Table2[[#This Row],[FPts]])</f>
        <v>#REF!</v>
      </c>
      <c r="H614" s="8" t="e">
        <f>ABS(Table2[[#This Row],[E - FP/G]]-Table2[[#This Row],[FP/G]])</f>
        <v>#REF!</v>
      </c>
    </row>
    <row r="615" spans="1:8" x14ac:dyDescent="0.25">
      <c r="A615" t="s">
        <v>1227</v>
      </c>
      <c r="B615" t="s">
        <v>1228</v>
      </c>
      <c r="C615" t="e">
        <f>VLOOKUP(A615,'Overall Results'!$B$2:$I$543,9,FALSE)</f>
        <v>#N/A</v>
      </c>
      <c r="D615" t="e">
        <f>VLOOKUP(A615,'Overall Results'!$B$2:$I$543,10,FALSE)</f>
        <v>#N/A</v>
      </c>
      <c r="E615" s="3">
        <v>147.6</v>
      </c>
      <c r="F615" s="3">
        <v>3.35</v>
      </c>
      <c r="G615" s="8" t="e">
        <f>ABS(Table2[[#This Row],[E - FPts]]-Table2[[#This Row],[FPts]])</f>
        <v>#N/A</v>
      </c>
      <c r="H615" s="8" t="e">
        <f>ABS(Table2[[#This Row],[E - FP/G]]-Table2[[#This Row],[FP/G]])</f>
        <v>#N/A</v>
      </c>
    </row>
    <row r="616" spans="1:8" x14ac:dyDescent="0.25">
      <c r="A616" t="s">
        <v>721</v>
      </c>
      <c r="B616" t="s">
        <v>722</v>
      </c>
      <c r="C616" t="e">
        <f>VLOOKUP(A616,'Overall Results'!$B$2:$I$543,9,FALSE)</f>
        <v>#REF!</v>
      </c>
      <c r="D616" t="e">
        <f>VLOOKUP(A616,'Overall Results'!$B$2:$I$543,10,FALSE)</f>
        <v>#REF!</v>
      </c>
      <c r="E616" s="3">
        <v>317.7</v>
      </c>
      <c r="F616" s="3">
        <v>4.0199999999999996</v>
      </c>
      <c r="G616" s="8" t="e">
        <f>ABS(Table2[[#This Row],[E - FPts]]-Table2[[#This Row],[FPts]])</f>
        <v>#REF!</v>
      </c>
      <c r="H616" s="8" t="e">
        <f>ABS(Table2[[#This Row],[E - FP/G]]-Table2[[#This Row],[FP/G]])</f>
        <v>#REF!</v>
      </c>
    </row>
    <row r="617" spans="1:8" x14ac:dyDescent="0.25">
      <c r="A617" t="s">
        <v>841</v>
      </c>
      <c r="B617" t="s">
        <v>842</v>
      </c>
      <c r="C617" t="e">
        <f>VLOOKUP(A617,'Overall Results'!$B$2:$I$543,9,FALSE)</f>
        <v>#REF!</v>
      </c>
      <c r="D617" t="e">
        <f>VLOOKUP(A617,'Overall Results'!$B$2:$I$543,10,FALSE)</f>
        <v>#REF!</v>
      </c>
      <c r="E617" s="3">
        <v>237.8</v>
      </c>
      <c r="F617" s="3">
        <v>3.4</v>
      </c>
      <c r="G617" s="8" t="e">
        <f>ABS(Table2[[#This Row],[E - FPts]]-Table2[[#This Row],[FPts]])</f>
        <v>#REF!</v>
      </c>
      <c r="H617" s="8" t="e">
        <f>ABS(Table2[[#This Row],[E - FP/G]]-Table2[[#This Row],[FP/G]])</f>
        <v>#REF!</v>
      </c>
    </row>
    <row r="618" spans="1:8" x14ac:dyDescent="0.25">
      <c r="A618" t="s">
        <v>245</v>
      </c>
      <c r="B618" t="s">
        <v>246</v>
      </c>
      <c r="C618" t="e">
        <f>VLOOKUP(A618,'Overall Results'!$B$2:$I$543,9,FALSE)</f>
        <v>#REF!</v>
      </c>
      <c r="D618" t="e">
        <f>VLOOKUP(A618,'Overall Results'!$B$2:$I$543,10,FALSE)</f>
        <v>#REF!</v>
      </c>
      <c r="E618" s="3">
        <v>448.05</v>
      </c>
      <c r="F618" s="3">
        <v>5.46</v>
      </c>
      <c r="G618" s="8" t="e">
        <f>ABS(Table2[[#This Row],[E - FPts]]-Table2[[#This Row],[FPts]])</f>
        <v>#REF!</v>
      </c>
      <c r="H618" s="8" t="e">
        <f>ABS(Table2[[#This Row],[E - FP/G]]-Table2[[#This Row],[FP/G]])</f>
        <v>#REF!</v>
      </c>
    </row>
    <row r="619" spans="1:8" x14ac:dyDescent="0.25">
      <c r="A619" t="s">
        <v>299</v>
      </c>
      <c r="B619" t="s">
        <v>300</v>
      </c>
      <c r="C619" t="e">
        <f>VLOOKUP(A619,'Overall Results'!$B$2:$I$543,9,FALSE)</f>
        <v>#REF!</v>
      </c>
      <c r="D619" t="e">
        <f>VLOOKUP(A619,'Overall Results'!$B$2:$I$543,10,FALSE)</f>
        <v>#REF!</v>
      </c>
      <c r="E619" s="3">
        <v>452.65</v>
      </c>
      <c r="F619" s="3">
        <v>5.52</v>
      </c>
      <c r="G619" s="8" t="e">
        <f>ABS(Table2[[#This Row],[E - FPts]]-Table2[[#This Row],[FPts]])</f>
        <v>#REF!</v>
      </c>
      <c r="H619" s="8" t="e">
        <f>ABS(Table2[[#This Row],[E - FP/G]]-Table2[[#This Row],[FP/G]])</f>
        <v>#REF!</v>
      </c>
    </row>
    <row r="620" spans="1:8" x14ac:dyDescent="0.25">
      <c r="A620" t="s">
        <v>737</v>
      </c>
      <c r="B620" t="s">
        <v>738</v>
      </c>
      <c r="C620" t="e">
        <f>VLOOKUP(A620,'Overall Results'!$B$2:$I$543,9,FALSE)</f>
        <v>#REF!</v>
      </c>
      <c r="D620" t="e">
        <f>VLOOKUP(A620,'Overall Results'!$B$2:$I$543,10,FALSE)</f>
        <v>#REF!</v>
      </c>
      <c r="E620" s="3">
        <v>237.2</v>
      </c>
      <c r="F620" s="3">
        <v>3.89</v>
      </c>
      <c r="G620" s="8" t="e">
        <f>ABS(Table2[[#This Row],[E - FPts]]-Table2[[#This Row],[FPts]])</f>
        <v>#REF!</v>
      </c>
      <c r="H620" s="8" t="e">
        <f>ABS(Table2[[#This Row],[E - FP/G]]-Table2[[#This Row],[FP/G]])</f>
        <v>#REF!</v>
      </c>
    </row>
    <row r="621" spans="1:8" x14ac:dyDescent="0.25">
      <c r="A621" t="s">
        <v>1177</v>
      </c>
      <c r="B621" t="s">
        <v>1178</v>
      </c>
      <c r="C621" t="e">
        <f>VLOOKUP(A621,'Overall Results'!$B$2:$I$543,9,FALSE)</f>
        <v>#N/A</v>
      </c>
      <c r="D621" t="e">
        <f>VLOOKUP(A621,'Overall Results'!$B$2:$I$543,10,FALSE)</f>
        <v>#N/A</v>
      </c>
      <c r="E621" s="3">
        <v>3.85</v>
      </c>
      <c r="F621" s="3">
        <v>3.85</v>
      </c>
      <c r="G621" s="8" t="e">
        <f>ABS(Table2[[#This Row],[E - FPts]]-Table2[[#This Row],[FPts]])</f>
        <v>#N/A</v>
      </c>
      <c r="H621" s="8" t="e">
        <f>ABS(Table2[[#This Row],[E - FP/G]]-Table2[[#This Row],[FP/G]])</f>
        <v>#N/A</v>
      </c>
    </row>
    <row r="622" spans="1:8" x14ac:dyDescent="0.25">
      <c r="A622" t="s">
        <v>173</v>
      </c>
      <c r="B622" t="s">
        <v>174</v>
      </c>
      <c r="C622" t="e">
        <f>VLOOKUP(A622,'Overall Results'!$B$2:$I$543,9,FALSE)</f>
        <v>#REF!</v>
      </c>
      <c r="D622" t="e">
        <f>VLOOKUP(A622,'Overall Results'!$B$2:$I$543,10,FALSE)</f>
        <v>#REF!</v>
      </c>
      <c r="E622" s="3">
        <v>703.6</v>
      </c>
      <c r="F622" s="3">
        <v>8.58</v>
      </c>
      <c r="G622" s="8" t="e">
        <f>ABS(Table2[[#This Row],[E - FPts]]-Table2[[#This Row],[FPts]])</f>
        <v>#REF!</v>
      </c>
      <c r="H622" s="8" t="e">
        <f>ABS(Table2[[#This Row],[E - FP/G]]-Table2[[#This Row],[FP/G]])</f>
        <v>#REF!</v>
      </c>
    </row>
    <row r="623" spans="1:8" x14ac:dyDescent="0.25">
      <c r="A623" t="s">
        <v>603</v>
      </c>
      <c r="B623" t="s">
        <v>604</v>
      </c>
      <c r="C623" t="e">
        <f>VLOOKUP(A623,'Overall Results'!$B$2:$I$543,9,FALSE)</f>
        <v>#REF!</v>
      </c>
      <c r="D623" t="e">
        <f>VLOOKUP(A623,'Overall Results'!$B$2:$I$543,10,FALSE)</f>
        <v>#REF!</v>
      </c>
      <c r="E623" s="3">
        <v>279.64999999999998</v>
      </c>
      <c r="F623" s="3">
        <v>4.51</v>
      </c>
      <c r="G623" s="8" t="e">
        <f>ABS(Table2[[#This Row],[E - FPts]]-Table2[[#This Row],[FPts]])</f>
        <v>#REF!</v>
      </c>
      <c r="H623" s="8" t="e">
        <f>ABS(Table2[[#This Row],[E - FP/G]]-Table2[[#This Row],[FP/G]])</f>
        <v>#REF!</v>
      </c>
    </row>
    <row r="624" spans="1:8" x14ac:dyDescent="0.25">
      <c r="A624" t="s">
        <v>467</v>
      </c>
      <c r="B624" t="s">
        <v>468</v>
      </c>
      <c r="C624" t="e">
        <f>VLOOKUP(A624,'Overall Results'!$B$2:$I$543,9,FALSE)</f>
        <v>#REF!</v>
      </c>
      <c r="D624" t="e">
        <f>VLOOKUP(A624,'Overall Results'!$B$2:$I$543,10,FALSE)</f>
        <v>#REF!</v>
      </c>
      <c r="E624" s="3">
        <v>393.7</v>
      </c>
      <c r="F624" s="3">
        <v>4.8600000000000003</v>
      </c>
      <c r="G624" s="8" t="e">
        <f>ABS(Table2[[#This Row],[E - FPts]]-Table2[[#This Row],[FPts]])</f>
        <v>#REF!</v>
      </c>
      <c r="H624" s="8" t="e">
        <f>ABS(Table2[[#This Row],[E - FP/G]]-Table2[[#This Row],[FP/G]])</f>
        <v>#REF!</v>
      </c>
    </row>
    <row r="625" spans="1:8" x14ac:dyDescent="0.25">
      <c r="A625" t="s">
        <v>177</v>
      </c>
      <c r="B625" t="s">
        <v>178</v>
      </c>
      <c r="C625" t="e">
        <f>VLOOKUP(A625,'Overall Results'!$B$2:$I$543,9,FALSE)</f>
        <v>#REF!</v>
      </c>
      <c r="D625" t="e">
        <f>VLOOKUP(A625,'Overall Results'!$B$2:$I$543,10,FALSE)</f>
        <v>#REF!</v>
      </c>
      <c r="E625" s="3">
        <v>452.95</v>
      </c>
      <c r="F625" s="3">
        <v>7.31</v>
      </c>
      <c r="G625" s="8" t="e">
        <f>ABS(Table2[[#This Row],[E - FPts]]-Table2[[#This Row],[FPts]])</f>
        <v>#REF!</v>
      </c>
      <c r="H625" s="8" t="e">
        <f>ABS(Table2[[#This Row],[E - FP/G]]-Table2[[#This Row],[FP/G]])</f>
        <v>#REF!</v>
      </c>
    </row>
    <row r="626" spans="1:8" x14ac:dyDescent="0.25">
      <c r="A626" t="s">
        <v>745</v>
      </c>
      <c r="B626" t="s">
        <v>746</v>
      </c>
      <c r="C626" t="e">
        <f>VLOOKUP(A626,'Overall Results'!$B$2:$I$543,9,FALSE)</f>
        <v>#REF!</v>
      </c>
      <c r="D626" t="e">
        <f>VLOOKUP(A626,'Overall Results'!$B$2:$I$543,10,FALSE)</f>
        <v>#REF!</v>
      </c>
      <c r="E626" s="3">
        <v>268.8</v>
      </c>
      <c r="F626" s="3">
        <v>3.95</v>
      </c>
      <c r="G626" s="8" t="e">
        <f>ABS(Table2[[#This Row],[E - FPts]]-Table2[[#This Row],[FPts]])</f>
        <v>#REF!</v>
      </c>
      <c r="H626" s="8" t="e">
        <f>ABS(Table2[[#This Row],[E - FP/G]]-Table2[[#This Row],[FP/G]])</f>
        <v>#REF!</v>
      </c>
    </row>
    <row r="627" spans="1:8" x14ac:dyDescent="0.25">
      <c r="A627" t="s">
        <v>317</v>
      </c>
      <c r="B627" t="s">
        <v>318</v>
      </c>
      <c r="C627" t="e">
        <f>VLOOKUP(A627,'Overall Results'!$B$2:$I$543,9,FALSE)</f>
        <v>#REF!</v>
      </c>
      <c r="D627" t="e">
        <f>VLOOKUP(A627,'Overall Results'!$B$2:$I$543,10,FALSE)</f>
        <v>#REF!</v>
      </c>
      <c r="E627" s="3">
        <v>435.45</v>
      </c>
      <c r="F627" s="3">
        <v>5.25</v>
      </c>
      <c r="G627" s="8" t="e">
        <f>ABS(Table2[[#This Row],[E - FPts]]-Table2[[#This Row],[FPts]])</f>
        <v>#REF!</v>
      </c>
      <c r="H627" s="8" t="e">
        <f>ABS(Table2[[#This Row],[E - FP/G]]-Table2[[#This Row],[FP/G]])</f>
        <v>#REF!</v>
      </c>
    </row>
    <row r="628" spans="1:8" x14ac:dyDescent="0.25">
      <c r="A628" t="s">
        <v>561</v>
      </c>
      <c r="B628" t="s">
        <v>562</v>
      </c>
      <c r="C628" t="e">
        <f>VLOOKUP(A628,'Overall Results'!$B$2:$I$543,9,FALSE)</f>
        <v>#REF!</v>
      </c>
      <c r="D628" t="e">
        <f>VLOOKUP(A628,'Overall Results'!$B$2:$I$543,10,FALSE)</f>
        <v>#REF!</v>
      </c>
      <c r="E628" s="3">
        <v>345.5</v>
      </c>
      <c r="F628" s="3">
        <v>4.67</v>
      </c>
      <c r="G628" s="8" t="e">
        <f>ABS(Table2[[#This Row],[E - FPts]]-Table2[[#This Row],[FPts]])</f>
        <v>#REF!</v>
      </c>
      <c r="H628" s="8" t="e">
        <f>ABS(Table2[[#This Row],[E - FP/G]]-Table2[[#This Row],[FP/G]])</f>
        <v>#REF!</v>
      </c>
    </row>
    <row r="629" spans="1:8" x14ac:dyDescent="0.25">
      <c r="A629" t="s">
        <v>591</v>
      </c>
      <c r="B629" t="s">
        <v>592</v>
      </c>
      <c r="C629" t="e">
        <f>VLOOKUP(A629,'Overall Results'!$B$2:$I$543,9,FALSE)</f>
        <v>#REF!</v>
      </c>
      <c r="D629" t="e">
        <f>VLOOKUP(A629,'Overall Results'!$B$2:$I$543,10,FALSE)</f>
        <v>#REF!</v>
      </c>
      <c r="E629" s="3">
        <v>331</v>
      </c>
      <c r="F629" s="3">
        <v>4.09</v>
      </c>
      <c r="G629" s="8" t="e">
        <f>ABS(Table2[[#This Row],[E - FPts]]-Table2[[#This Row],[FPts]])</f>
        <v>#REF!</v>
      </c>
      <c r="H629" s="8" t="e">
        <f>ABS(Table2[[#This Row],[E - FP/G]]-Table2[[#This Row],[FP/G]])</f>
        <v>#REF!</v>
      </c>
    </row>
    <row r="630" spans="1:8" x14ac:dyDescent="0.25">
      <c r="A630" t="s">
        <v>7</v>
      </c>
      <c r="B630" t="s">
        <v>8</v>
      </c>
      <c r="C630" t="e">
        <f>VLOOKUP(A630,'Overall Results'!$B$2:$I$543,9,FALSE)</f>
        <v>#REF!</v>
      </c>
      <c r="D630" t="e">
        <f>VLOOKUP(A630,'Overall Results'!$B$2:$I$543,10,FALSE)</f>
        <v>#REF!</v>
      </c>
      <c r="E630" s="3">
        <v>991.55</v>
      </c>
      <c r="F630" s="3">
        <v>12.09</v>
      </c>
      <c r="G630" s="8" t="e">
        <f>ABS(Table2[[#This Row],[E - FPts]]-Table2[[#This Row],[FPts]])</f>
        <v>#REF!</v>
      </c>
      <c r="H630" s="8" t="e">
        <f>ABS(Table2[[#This Row],[E - FP/G]]-Table2[[#This Row],[FP/G]])</f>
        <v>#REF!</v>
      </c>
    </row>
    <row r="631" spans="1:8" x14ac:dyDescent="0.25">
      <c r="A631" t="s">
        <v>267</v>
      </c>
      <c r="B631" t="s">
        <v>268</v>
      </c>
      <c r="C631" t="e">
        <f>VLOOKUP(A631,'Overall Results'!$B$2:$I$543,9,FALSE)</f>
        <v>#REF!</v>
      </c>
      <c r="D631" t="e">
        <f>VLOOKUP(A631,'Overall Results'!$B$2:$I$543,10,FALSE)</f>
        <v>#REF!</v>
      </c>
      <c r="E631" s="3">
        <v>455.5</v>
      </c>
      <c r="F631" s="3">
        <v>6.51</v>
      </c>
      <c r="G631" s="8" t="e">
        <f>ABS(Table2[[#This Row],[E - FPts]]-Table2[[#This Row],[FPts]])</f>
        <v>#REF!</v>
      </c>
      <c r="H631" s="8" t="e">
        <f>ABS(Table2[[#This Row],[E - FP/G]]-Table2[[#This Row],[FP/G]])</f>
        <v>#REF!</v>
      </c>
    </row>
    <row r="632" spans="1:8" x14ac:dyDescent="0.25">
      <c r="A632" t="s">
        <v>973</v>
      </c>
      <c r="B632" t="s">
        <v>974</v>
      </c>
      <c r="C632" t="e">
        <f>VLOOKUP(A632,'Overall Results'!$B$2:$I$543,9,FALSE)</f>
        <v>#N/A</v>
      </c>
      <c r="D632" t="e">
        <f>VLOOKUP(A632,'Overall Results'!$B$2:$I$543,10,FALSE)</f>
        <v>#N/A</v>
      </c>
      <c r="E632" s="3">
        <v>95.85</v>
      </c>
      <c r="F632" s="3">
        <v>3.42</v>
      </c>
      <c r="G632" s="8" t="e">
        <f>ABS(Table2[[#This Row],[E - FPts]]-Table2[[#This Row],[FPts]])</f>
        <v>#N/A</v>
      </c>
      <c r="H632" s="8" t="e">
        <f>ABS(Table2[[#This Row],[E - FP/G]]-Table2[[#This Row],[FP/G]])</f>
        <v>#N/A</v>
      </c>
    </row>
    <row r="633" spans="1:8" x14ac:dyDescent="0.25">
      <c r="A633" t="s">
        <v>331</v>
      </c>
      <c r="B633" t="s">
        <v>332</v>
      </c>
      <c r="C633" t="e">
        <f>VLOOKUP(A633,'Overall Results'!$B$2:$I$543,9,FALSE)</f>
        <v>#REF!</v>
      </c>
      <c r="D633" t="e">
        <f>VLOOKUP(A633,'Overall Results'!$B$2:$I$543,10,FALSE)</f>
        <v>#REF!</v>
      </c>
      <c r="E633" s="3">
        <v>370.85</v>
      </c>
      <c r="F633" s="3">
        <v>4.9400000000000004</v>
      </c>
      <c r="G633" s="8" t="e">
        <f>ABS(Table2[[#This Row],[E - FPts]]-Table2[[#This Row],[FPts]])</f>
        <v>#REF!</v>
      </c>
      <c r="H633" s="8" t="e">
        <f>ABS(Table2[[#This Row],[E - FP/G]]-Table2[[#This Row],[FP/G]])</f>
        <v>#REF!</v>
      </c>
    </row>
    <row r="634" spans="1:8" x14ac:dyDescent="0.25">
      <c r="A634" t="s">
        <v>275</v>
      </c>
      <c r="B634" t="s">
        <v>276</v>
      </c>
      <c r="C634" t="e">
        <f>VLOOKUP(A634,'Overall Results'!$B$2:$I$543,9,FALSE)</f>
        <v>#REF!</v>
      </c>
      <c r="D634" t="e">
        <f>VLOOKUP(A634,'Overall Results'!$B$2:$I$543,10,FALSE)</f>
        <v>#REF!</v>
      </c>
      <c r="E634" s="3">
        <v>398.3</v>
      </c>
      <c r="F634" s="3">
        <v>5.77</v>
      </c>
      <c r="G634" s="8" t="e">
        <f>ABS(Table2[[#This Row],[E - FPts]]-Table2[[#This Row],[FPts]])</f>
        <v>#REF!</v>
      </c>
      <c r="H634" s="8" t="e">
        <f>ABS(Table2[[#This Row],[E - FP/G]]-Table2[[#This Row],[FP/G]])</f>
        <v>#REF!</v>
      </c>
    </row>
    <row r="635" spans="1:8" x14ac:dyDescent="0.25">
      <c r="A635" t="s">
        <v>405</v>
      </c>
      <c r="B635" t="s">
        <v>406</v>
      </c>
      <c r="C635" t="e">
        <f>VLOOKUP(A635,'Overall Results'!$B$2:$I$543,9,FALSE)</f>
        <v>#REF!</v>
      </c>
      <c r="D635" t="e">
        <f>VLOOKUP(A635,'Overall Results'!$B$2:$I$543,10,FALSE)</f>
        <v>#REF!</v>
      </c>
      <c r="E635" s="3">
        <v>468.15</v>
      </c>
      <c r="F635" s="3">
        <v>5.71</v>
      </c>
      <c r="G635" s="8" t="e">
        <f>ABS(Table2[[#This Row],[E - FPts]]-Table2[[#This Row],[FPts]])</f>
        <v>#REF!</v>
      </c>
      <c r="H635" s="8" t="e">
        <f>ABS(Table2[[#This Row],[E - FP/G]]-Table2[[#This Row],[FP/G]])</f>
        <v>#REF!</v>
      </c>
    </row>
    <row r="636" spans="1:8" x14ac:dyDescent="0.25">
      <c r="A636" t="s">
        <v>395</v>
      </c>
      <c r="B636" t="s">
        <v>396</v>
      </c>
      <c r="C636" t="e">
        <f>VLOOKUP(A636,'Overall Results'!$B$2:$I$543,9,FALSE)</f>
        <v>#REF!</v>
      </c>
      <c r="D636" t="e">
        <f>VLOOKUP(A636,'Overall Results'!$B$2:$I$543,10,FALSE)</f>
        <v>#REF!</v>
      </c>
      <c r="E636" s="3">
        <v>391</v>
      </c>
      <c r="F636" s="3">
        <v>5.14</v>
      </c>
      <c r="G636" s="8" t="e">
        <f>ABS(Table2[[#This Row],[E - FPts]]-Table2[[#This Row],[FPts]])</f>
        <v>#REF!</v>
      </c>
      <c r="H636" s="8" t="e">
        <f>ABS(Table2[[#This Row],[E - FP/G]]-Table2[[#This Row],[FP/G]])</f>
        <v>#REF!</v>
      </c>
    </row>
    <row r="637" spans="1:8" x14ac:dyDescent="0.25">
      <c r="A637" t="s">
        <v>461</v>
      </c>
      <c r="B637" t="s">
        <v>462</v>
      </c>
      <c r="C637" t="e">
        <f>VLOOKUP(A637,'Overall Results'!$B$2:$I$543,9,FALSE)</f>
        <v>#REF!</v>
      </c>
      <c r="D637" t="e">
        <f>VLOOKUP(A637,'Overall Results'!$B$2:$I$543,10,FALSE)</f>
        <v>#REF!</v>
      </c>
      <c r="E637" s="3">
        <v>295.85000000000002</v>
      </c>
      <c r="F637" s="3">
        <v>4.7</v>
      </c>
      <c r="G637" s="8" t="e">
        <f>ABS(Table2[[#This Row],[E - FPts]]-Table2[[#This Row],[FPts]])</f>
        <v>#REF!</v>
      </c>
      <c r="H637" s="8" t="e">
        <f>ABS(Table2[[#This Row],[E - FP/G]]-Table2[[#This Row],[FP/G]])</f>
        <v>#REF!</v>
      </c>
    </row>
    <row r="638" spans="1:8" x14ac:dyDescent="0.25">
      <c r="A638" t="s">
        <v>349</v>
      </c>
      <c r="B638" t="s">
        <v>350</v>
      </c>
      <c r="C638" t="e">
        <f>VLOOKUP(A638,'Overall Results'!$B$2:$I$543,9,FALSE)</f>
        <v>#REF!</v>
      </c>
      <c r="D638" t="e">
        <f>VLOOKUP(A638,'Overall Results'!$B$2:$I$543,10,FALSE)</f>
        <v>#REF!</v>
      </c>
      <c r="E638" s="3">
        <v>537.4</v>
      </c>
      <c r="F638" s="3">
        <v>6.55</v>
      </c>
      <c r="G638" s="8" t="e">
        <f>ABS(Table2[[#This Row],[E - FPts]]-Table2[[#This Row],[FPts]])</f>
        <v>#REF!</v>
      </c>
      <c r="H638" s="8" t="e">
        <f>ABS(Table2[[#This Row],[E - FP/G]]-Table2[[#This Row],[FP/G]])</f>
        <v>#REF!</v>
      </c>
    </row>
    <row r="639" spans="1:8" x14ac:dyDescent="0.25">
      <c r="A639" t="s">
        <v>259</v>
      </c>
      <c r="B639" t="s">
        <v>260</v>
      </c>
      <c r="C639" t="e">
        <f>VLOOKUP(A639,'Overall Results'!$B$2:$I$543,9,FALSE)</f>
        <v>#REF!</v>
      </c>
      <c r="D639" t="e">
        <f>VLOOKUP(A639,'Overall Results'!$B$2:$I$543,10,FALSE)</f>
        <v>#REF!</v>
      </c>
      <c r="E639" s="3">
        <v>466.45</v>
      </c>
      <c r="F639" s="3">
        <v>5.98</v>
      </c>
      <c r="G639" s="8" t="e">
        <f>ABS(Table2[[#This Row],[E - FPts]]-Table2[[#This Row],[FPts]])</f>
        <v>#REF!</v>
      </c>
      <c r="H639" s="8" t="e">
        <f>ABS(Table2[[#This Row],[E - FP/G]]-Table2[[#This Row],[FP/G]])</f>
        <v>#REF!</v>
      </c>
    </row>
    <row r="640" spans="1:8" x14ac:dyDescent="0.25">
      <c r="A640" t="s">
        <v>133</v>
      </c>
      <c r="B640" t="s">
        <v>134</v>
      </c>
      <c r="C640" t="e">
        <f>VLOOKUP(A640,'Overall Results'!$B$2:$I$543,9,FALSE)</f>
        <v>#REF!</v>
      </c>
      <c r="D640" t="e">
        <f>VLOOKUP(A640,'Overall Results'!$B$2:$I$543,10,FALSE)</f>
        <v>#REF!</v>
      </c>
      <c r="E640" s="3">
        <v>511.55</v>
      </c>
      <c r="F640" s="3">
        <v>6.24</v>
      </c>
      <c r="G640" s="8" t="e">
        <f>ABS(Table2[[#This Row],[E - FPts]]-Table2[[#This Row],[FPts]])</f>
        <v>#REF!</v>
      </c>
      <c r="H640" s="8" t="e">
        <f>ABS(Table2[[#This Row],[E - FP/G]]-Table2[[#This Row],[FP/G]])</f>
        <v>#REF!</v>
      </c>
    </row>
    <row r="641" spans="1:8" x14ac:dyDescent="0.25">
      <c r="A641" t="s">
        <v>1155</v>
      </c>
      <c r="B641" t="s">
        <v>1156</v>
      </c>
      <c r="C641" t="e">
        <f>VLOOKUP(A641,'Overall Results'!$B$2:$I$543,9,FALSE)</f>
        <v>#REF!</v>
      </c>
      <c r="D641" t="e">
        <f>VLOOKUP(A641,'Overall Results'!$B$2:$I$543,10,FALSE)</f>
        <v>#REF!</v>
      </c>
      <c r="E641" s="3">
        <v>115.1</v>
      </c>
      <c r="F641" s="3">
        <v>3.6</v>
      </c>
      <c r="G641" s="8" t="e">
        <f>ABS(Table2[[#This Row],[E - FPts]]-Table2[[#This Row],[FPts]])</f>
        <v>#REF!</v>
      </c>
      <c r="H641" s="8" t="e">
        <f>ABS(Table2[[#This Row],[E - FP/G]]-Table2[[#This Row],[FP/G]])</f>
        <v>#REF!</v>
      </c>
    </row>
    <row r="642" spans="1:8" x14ac:dyDescent="0.25">
      <c r="A642" t="s">
        <v>115</v>
      </c>
      <c r="B642" t="s">
        <v>116</v>
      </c>
      <c r="C642" t="e">
        <f>VLOOKUP(A642,'Overall Results'!$B$2:$I$543,9,FALSE)</f>
        <v>#REF!</v>
      </c>
      <c r="D642" t="e">
        <f>VLOOKUP(A642,'Overall Results'!$B$2:$I$543,10,FALSE)</f>
        <v>#REF!</v>
      </c>
      <c r="E642" s="3">
        <v>564.1</v>
      </c>
      <c r="F642" s="3">
        <v>8.9499999999999993</v>
      </c>
      <c r="G642" s="8" t="e">
        <f>ABS(Table2[[#This Row],[E - FPts]]-Table2[[#This Row],[FPts]])</f>
        <v>#REF!</v>
      </c>
      <c r="H642" s="8" t="e">
        <f>ABS(Table2[[#This Row],[E - FP/G]]-Table2[[#This Row],[FP/G]])</f>
        <v>#REF!</v>
      </c>
    </row>
    <row r="643" spans="1:8" x14ac:dyDescent="0.25">
      <c r="A643" t="s">
        <v>375</v>
      </c>
      <c r="B643" t="s">
        <v>376</v>
      </c>
      <c r="C643" t="e">
        <f>VLOOKUP(A643,'Overall Results'!$B$2:$I$543,9,FALSE)</f>
        <v>#REF!</v>
      </c>
      <c r="D643" t="e">
        <f>VLOOKUP(A643,'Overall Results'!$B$2:$I$543,10,FALSE)</f>
        <v>#REF!</v>
      </c>
      <c r="E643" s="3">
        <v>228.25</v>
      </c>
      <c r="F643" s="3">
        <v>5.57</v>
      </c>
      <c r="G643" s="8" t="e">
        <f>ABS(Table2[[#This Row],[E - FPts]]-Table2[[#This Row],[FPts]])</f>
        <v>#REF!</v>
      </c>
      <c r="H643" s="8" t="e">
        <f>ABS(Table2[[#This Row],[E - FP/G]]-Table2[[#This Row],[FP/G]])</f>
        <v>#REF!</v>
      </c>
    </row>
    <row r="644" spans="1:8" x14ac:dyDescent="0.25">
      <c r="A644" t="s">
        <v>112</v>
      </c>
      <c r="B644" t="s">
        <v>113</v>
      </c>
      <c r="C644" t="e">
        <f>VLOOKUP(A644,'Overall Results'!$B$2:$I$543,9,FALSE)</f>
        <v>#REF!</v>
      </c>
      <c r="D644" t="e">
        <f>VLOOKUP(A644,'Overall Results'!$B$2:$I$543,10,FALSE)</f>
        <v>#REF!</v>
      </c>
      <c r="E644" s="3">
        <v>578.4</v>
      </c>
      <c r="F644" s="3">
        <v>7.05</v>
      </c>
      <c r="G644" s="8" t="e">
        <f>ABS(Table2[[#This Row],[E - FPts]]-Table2[[#This Row],[FPts]])</f>
        <v>#REF!</v>
      </c>
      <c r="H644" s="8" t="e">
        <f>ABS(Table2[[#This Row],[E - FP/G]]-Table2[[#This Row],[FP/G]])</f>
        <v>#REF!</v>
      </c>
    </row>
    <row r="645" spans="1:8" x14ac:dyDescent="0.25">
      <c r="A645" t="s">
        <v>56</v>
      </c>
      <c r="B645" t="s">
        <v>57</v>
      </c>
      <c r="C645" t="e">
        <f>VLOOKUP(A645,'Overall Results'!$B$2:$I$543,9,FALSE)</f>
        <v>#REF!</v>
      </c>
      <c r="D645" t="e">
        <f>VLOOKUP(A645,'Overall Results'!$B$2:$I$543,10,FALSE)</f>
        <v>#REF!</v>
      </c>
      <c r="E645" s="3">
        <v>769.15</v>
      </c>
      <c r="F645" s="3">
        <v>9.3800000000000008</v>
      </c>
      <c r="G645" s="8" t="e">
        <f>ABS(Table2[[#This Row],[E - FPts]]-Table2[[#This Row],[FPts]])</f>
        <v>#REF!</v>
      </c>
      <c r="H645" s="8" t="e">
        <f>ABS(Table2[[#This Row],[E - FP/G]]-Table2[[#This Row],[FP/G]])</f>
        <v>#REF!</v>
      </c>
    </row>
    <row r="646" spans="1:8" x14ac:dyDescent="0.25">
      <c r="A646" t="s">
        <v>31</v>
      </c>
      <c r="B646" t="s">
        <v>32</v>
      </c>
      <c r="C646" t="e">
        <f>VLOOKUP(A646,'Overall Results'!$B$2:$I$543,9,FALSE)</f>
        <v>#REF!</v>
      </c>
      <c r="D646" t="e">
        <f>VLOOKUP(A646,'Overall Results'!$B$2:$I$543,10,FALSE)</f>
        <v>#REF!</v>
      </c>
      <c r="E646" s="3">
        <v>801.1</v>
      </c>
      <c r="F646" s="3">
        <v>9.77</v>
      </c>
      <c r="G646" s="8" t="e">
        <f>ABS(Table2[[#This Row],[E - FPts]]-Table2[[#This Row],[FPts]])</f>
        <v>#REF!</v>
      </c>
      <c r="H646" s="8" t="e">
        <f>ABS(Table2[[#This Row],[E - FP/G]]-Table2[[#This Row],[FP/G]])</f>
        <v>#REF!</v>
      </c>
    </row>
    <row r="648" spans="1:8" x14ac:dyDescent="0.25">
      <c r="G648" s="8"/>
      <c r="H648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 Results</vt:lpstr>
      <vt:lpstr>C</vt:lpstr>
      <vt:lpstr>LW</vt:lpstr>
      <vt:lpstr>RW</vt:lpstr>
      <vt:lpstr>D</vt:lpstr>
      <vt:lpstr>Replacement Results</vt:lpstr>
      <vt:lpstr>Model Evaluation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Young</dc:creator>
  <cp:keywords/>
  <dc:description/>
  <cp:lastModifiedBy>Christopher Young</cp:lastModifiedBy>
  <cp:revision/>
  <dcterms:created xsi:type="dcterms:W3CDTF">2023-09-29T02:24:41Z</dcterms:created>
  <dcterms:modified xsi:type="dcterms:W3CDTF">2025-10-07T00:45:38Z</dcterms:modified>
  <cp:category/>
  <cp:contentStatus/>
</cp:coreProperties>
</file>